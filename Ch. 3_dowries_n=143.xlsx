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Key_ underline = esti" sheetId="1" r:id="rId4"/>
  </sheets>
</workbook>
</file>

<file path=xl/sharedStrings.xml><?xml version="1.0" encoding="utf-8"?>
<sst xmlns="http://schemas.openxmlformats.org/spreadsheetml/2006/main" uniqueCount="449">
  <si>
    <t>Key: underline = estimated value; x = unknown value. Dates are CE. Prices are in dinars.</t>
  </si>
  <si>
    <t>Shelfmark (PGPID)</t>
  </si>
  <si>
    <t>Complete?</t>
  </si>
  <si>
    <t>Century</t>
  </si>
  <si>
    <t>Doc. Type</t>
  </si>
  <si>
    <t>Location</t>
  </si>
  <si>
    <t>Region</t>
  </si>
  <si>
    <t>Date, if known</t>
  </si>
  <si>
    <t>Bride: Virgin or Remarriage</t>
  </si>
  <si>
    <t>Bride’s Father Dead or Alive?</t>
  </si>
  <si>
    <t>Groom’s Father Dead or Alive?</t>
  </si>
  <si>
    <t>Early Marriage Payment</t>
  </si>
  <si>
    <t>Late Marriage Payment</t>
  </si>
  <si>
    <t>Male Dower Total</t>
  </si>
  <si>
    <t>Woman’s Dowry Total (listed or approximated)</t>
  </si>
  <si>
    <t>Woman’s Dowry Sum Total (what’s preserved)</t>
  </si>
  <si>
    <t>Includes RE</t>
  </si>
  <si>
    <t>Jewelry</t>
  </si>
  <si>
    <t>Clothing</t>
  </si>
  <si>
    <t>Bedding</t>
  </si>
  <si>
    <t>Other</t>
  </si>
  <si>
    <t>Unknown</t>
  </si>
  <si>
    <t>Enslaved Person</t>
  </si>
  <si>
    <t>Bodl. MS heb. a 2/2 (PGPID 6318)</t>
  </si>
  <si>
    <t>No</t>
  </si>
  <si>
    <t>10th c</t>
  </si>
  <si>
    <t>Ketubba</t>
  </si>
  <si>
    <t>Barqa, Libya</t>
  </si>
  <si>
    <t>Libya</t>
  </si>
  <si>
    <t>Virgin</t>
  </si>
  <si>
    <t>ENA 2779.3 (674)</t>
  </si>
  <si>
    <t>Alive</t>
  </si>
  <si>
    <t>T-S Ar.30.8 (8172)</t>
  </si>
  <si>
    <t>Trousseau</t>
  </si>
  <si>
    <t>&lt;4 dinars (76 dirhams + 1 dinar)</t>
  </si>
  <si>
    <t>T-S 16.52 (7370)</t>
  </si>
  <si>
    <t>12th c</t>
  </si>
  <si>
    <t>Fustat</t>
  </si>
  <si>
    <t>Fustat/Cairo</t>
  </si>
  <si>
    <t>Remarriage</t>
  </si>
  <si>
    <t>Dead</t>
  </si>
  <si>
    <t>Bodl. MS heb. b 12/1 (6351)</t>
  </si>
  <si>
    <t>Sunbāṭ</t>
  </si>
  <si>
    <t>Greater Egypt</t>
  </si>
  <si>
    <t>T-S 16.53 (1742)</t>
  </si>
  <si>
    <t>Yes</t>
  </si>
  <si>
    <t>11th c</t>
  </si>
  <si>
    <t>Egypt, Ṣā</t>
  </si>
  <si>
    <t>Yevr. III B 634 + T-S 8J32.1 + Bodl. MS heb. f 108/61 + Bodl. MS heb. b 13/48 (7715)</t>
  </si>
  <si>
    <t>Not preserved, but not likely</t>
  </si>
  <si>
    <t>Bodl. MS heb. b 12/26 (6374)</t>
  </si>
  <si>
    <t>2?</t>
  </si>
  <si>
    <t>x</t>
  </si>
  <si>
    <t>T-S 12.630 (1687)</t>
  </si>
  <si>
    <t>7+x</t>
  </si>
  <si>
    <t>Yevr. III B 637 (457)</t>
  </si>
  <si>
    <t>Tyre?</t>
  </si>
  <si>
    <t>Al-Sham</t>
  </si>
  <si>
    <t>Cod.Heid.Or.80 (34018)</t>
  </si>
  <si>
    <t>Bodl. MS heb. d 65/15 (6449)</t>
  </si>
  <si>
    <t>Cairo?</t>
  </si>
  <si>
    <t>N/a</t>
  </si>
  <si>
    <t>Not preserved</t>
  </si>
  <si>
    <t>Bodl. MS heb. f 56/55 (6542*4+6543)</t>
  </si>
  <si>
    <t>Fustat?</t>
  </si>
  <si>
    <t>T-S 12.154 (1619)</t>
  </si>
  <si>
    <t>Egypt, Qugandima</t>
  </si>
  <si>
    <t>ENA 4010.36 + PER H 1 (764)</t>
  </si>
  <si>
    <t>Palestine, Tyre</t>
  </si>
  <si>
    <t>T-S 16.123 (1706)</t>
  </si>
  <si>
    <t>Palestine, Ramla</t>
  </si>
  <si>
    <t>PER H 24 (907)</t>
  </si>
  <si>
    <t>Egypt, Damsīs</t>
  </si>
  <si>
    <t>T-S 13J3.10 (39938)</t>
  </si>
  <si>
    <t>T-S 20.124 + Halper 339 (3541)</t>
  </si>
  <si>
    <t>T-S 16.2 (38027)</t>
  </si>
  <si>
    <t>15+3x</t>
  </si>
  <si>
    <t>Bodl. MS heb. f 56/56 (6543*2)</t>
  </si>
  <si>
    <t>T-S Ar.18(1).136 (16232)</t>
  </si>
  <si>
    <t>T-S 8J9.17 (7651)</t>
  </si>
  <si>
    <t>1/4 dar, no price</t>
  </si>
  <si>
    <t>T-S 12.167 (7167)</t>
  </si>
  <si>
    <t>T-S 10J21.5 (7904)</t>
  </si>
  <si>
    <t>T-S 12.165 (3102)</t>
  </si>
  <si>
    <t>23+2x</t>
  </si>
  <si>
    <t>5+1x</t>
  </si>
  <si>
    <t xml:space="preserve">4+1x </t>
  </si>
  <si>
    <t>T-S 24.3 (38385)</t>
  </si>
  <si>
    <t>25.25+1x</t>
  </si>
  <si>
    <t>8.25+1x =11.25</t>
  </si>
  <si>
    <t>Bodl. MS heb. a 3/32 (504)</t>
  </si>
  <si>
    <t>Ramla</t>
  </si>
  <si>
    <t>5[.333]+RE</t>
  </si>
  <si>
    <t>Upper story (=1/2 dar plus a half well of salty water) worth 25</t>
  </si>
  <si>
    <t>Bodl. MS heb. a 3/45 (6334)</t>
  </si>
  <si>
    <t>Bodl. MS heb. f 56/55 (6542*3)</t>
  </si>
  <si>
    <t>Bodl. MS heb. b 3/11 (6341)</t>
  </si>
  <si>
    <t>&gt;37</t>
  </si>
  <si>
    <t>NLI 577.4/98 (854)</t>
  </si>
  <si>
    <t>34+x</t>
  </si>
  <si>
    <t>23+x</t>
  </si>
  <si>
    <t>9+x</t>
  </si>
  <si>
    <t>1+x</t>
  </si>
  <si>
    <t>T-S 12.119 (1612)</t>
  </si>
  <si>
    <t>21+x</t>
  </si>
  <si>
    <t>1/3 of a dār, price not listed</t>
  </si>
  <si>
    <t>8+x</t>
  </si>
  <si>
    <t>4+x</t>
  </si>
  <si>
    <t>Bodl. MS heb. f 56/55 (6542*1)</t>
  </si>
  <si>
    <t>Bodl. MS heb. a 3/40 (6331)</t>
  </si>
  <si>
    <t>Yevr. III B 635 (455)</t>
  </si>
  <si>
    <t>Tyre</t>
  </si>
  <si>
    <t>&gt;34.5</t>
  </si>
  <si>
    <t>5+x</t>
  </si>
  <si>
    <t>3.5+x</t>
  </si>
  <si>
    <t>6+x</t>
  </si>
  <si>
    <t>Bodl. MS heb. a 2/4 (2509)</t>
  </si>
  <si>
    <t>Bodl. MS heb. a 3/38 (6329)</t>
  </si>
  <si>
    <t>&gt;47</t>
  </si>
  <si>
    <t>21-29</t>
  </si>
  <si>
    <t>T-S 16.155 + Halper 333 (6576)</t>
  </si>
  <si>
    <t>50 or 75 (75 listed, unclear if it’s just nedunya or includes mohar)</t>
  </si>
  <si>
    <t>1/4 dār worth 30 dinars</t>
  </si>
  <si>
    <t>BL OR 5561B.2 + BL OR 5561B.3 (6249)</t>
  </si>
  <si>
    <t>Ketubba, copy,</t>
  </si>
  <si>
    <t>44+1x</t>
  </si>
  <si>
    <t xml:space="preserve">5+1x </t>
  </si>
  <si>
    <t>T-S 12.558 (7267)</t>
  </si>
  <si>
    <t>21.75 or 39.75+x</t>
  </si>
  <si>
    <t>1/2 dār, price cut off if ever listed</t>
  </si>
  <si>
    <t>7 or 24+x</t>
  </si>
  <si>
    <t>2+x</t>
  </si>
  <si>
    <t>2.75+x</t>
  </si>
  <si>
    <t>T-S 20.1 (7497)</t>
  </si>
  <si>
    <t>30.5+4x</t>
  </si>
  <si>
    <t>4 or 5 +1x (3 is visible, then dinar or dinarayn gets cut off)</t>
  </si>
  <si>
    <t>17+1x</t>
  </si>
  <si>
    <t>3+2x</t>
  </si>
  <si>
    <t>Bodl. MS heb. f 56/53-54 (33921)</t>
  </si>
  <si>
    <t>Moss. V,206 (18635)</t>
  </si>
  <si>
    <t>13th c</t>
  </si>
  <si>
    <t>Moss. V,8* (897)</t>
  </si>
  <si>
    <t>14th c</t>
  </si>
  <si>
    <t>Ketubba, draft</t>
  </si>
  <si>
    <t>T-S 12.488 + T-S 16.202 (7239)</t>
  </si>
  <si>
    <t xml:space="preserve"> &gt;54</t>
  </si>
  <si>
    <t>4+2x</t>
  </si>
  <si>
    <t>Bodl. MS heb. f 56/18 + Bodl. MS heb. f 56/14 (2501)</t>
  </si>
  <si>
    <t>&gt;54 (but probably not much higher)</t>
  </si>
  <si>
    <t>26+1x</t>
  </si>
  <si>
    <t>1+1x</t>
  </si>
  <si>
    <t>T-S K15.65 (8506*1)</t>
  </si>
  <si>
    <t>Bodl. MS heb. f 56/53 (33920)</t>
  </si>
  <si>
    <t>T-S NS J231 (8753)</t>
  </si>
  <si>
    <t>42.5+5x</t>
  </si>
  <si>
    <t>5.5+1x</t>
  </si>
  <si>
    <t>29+3x</t>
  </si>
  <si>
    <t>8.25+1x</t>
  </si>
  <si>
    <t xml:space="preserve">CUL Add.3430 (2293)
</t>
  </si>
  <si>
    <t>Jerusalem</t>
  </si>
  <si>
    <t>T-S NS J228 (8752)</t>
  </si>
  <si>
    <t>Malīj</t>
  </si>
  <si>
    <t>52+3x (all textiles)</t>
  </si>
  <si>
    <t>8+1x</t>
  </si>
  <si>
    <t>Bodl. MS heb. f 56/54 (33922)</t>
  </si>
  <si>
    <t>Bodl. MS heb. f 56/54 (6541)</t>
  </si>
  <si>
    <t>T-S 24.35 (1802)</t>
  </si>
  <si>
    <t>&gt;38</t>
  </si>
  <si>
    <t>Yes (directions but not size preserved), worth 30 dinars</t>
  </si>
  <si>
    <t>Bodl. MS heb. f 56/56 (6543*1)</t>
  </si>
  <si>
    <t>42.25 (not incl. dar)</t>
  </si>
  <si>
    <t>1/2 dar in “Mitaṭ al-saqayīn”(?) מתט אלסקאין</t>
  </si>
  <si>
    <t>CUL Or.1080 J140 (8902)</t>
  </si>
  <si>
    <t>Fustat (or at least on the Nile)</t>
  </si>
  <si>
    <t>Yevr. III B 636 (27835)</t>
  </si>
  <si>
    <t>Not preserved [but didn’t read verso carefully]</t>
  </si>
  <si>
    <t>24.5+x</t>
  </si>
  <si>
    <t>10+x</t>
  </si>
  <si>
    <t>Bodl. MS heb. b 12/31 (6391)</t>
  </si>
  <si>
    <t>&gt;46.5</t>
  </si>
  <si>
    <t>1/2 dār worth 20 dinars</t>
  </si>
  <si>
    <t>10.5+x</t>
  </si>
  <si>
    <t>15+x</t>
  </si>
  <si>
    <t>T-S 20.116 (39480)</t>
  </si>
  <si>
    <t>11th/12th c</t>
  </si>
  <si>
    <t>T-S 20.156 (3546)</t>
  </si>
  <si>
    <t>49+x</t>
  </si>
  <si>
    <t>20+x</t>
  </si>
  <si>
    <t>18+x</t>
  </si>
  <si>
    <t>T-S Ar.51.82 (21246)</t>
  </si>
  <si>
    <t>&gt;83 (83 or 103+2x)</t>
  </si>
  <si>
    <t>T-S 8.225 + T-S 28.23 (7593)</t>
  </si>
  <si>
    <t>25+x</t>
  </si>
  <si>
    <t>Bodl. MS heb. f 56/55 (6542*2)</t>
  </si>
  <si>
    <t>Bodl. MS heb. c 13/28 + Bodl. MS heb. c 13/27 (6414)</t>
  </si>
  <si>
    <t>29 +1x</t>
  </si>
  <si>
    <t xml:space="preserve">19 +1x </t>
  </si>
  <si>
    <t>T-S K25.166 (8536)</t>
  </si>
  <si>
    <t>68+2x</t>
  </si>
  <si>
    <t xml:space="preserve"> 43+1x</t>
  </si>
  <si>
    <t xml:space="preserve"> x+0.5 (where x seems to be a fraction)</t>
  </si>
  <si>
    <t>T-S 20.47 (38923)</t>
  </si>
  <si>
    <t>&gt;93.5</t>
  </si>
  <si>
    <t>51.5+ 1 or 2x</t>
  </si>
  <si>
    <t>30+x</t>
  </si>
  <si>
    <t>T-S Misc.28.90 [+ T-S NS 38.98] (23449)</t>
  </si>
  <si>
    <t>&gt;68</t>
  </si>
  <si>
    <t>T-S K15.65 (8506*2)</t>
  </si>
  <si>
    <t>Bodl. MS heb. f 56/56 (6543*4)</t>
  </si>
  <si>
    <t>101.5+1x</t>
  </si>
  <si>
    <t>14.5+1x</t>
  </si>
  <si>
    <t>Halper 345 (39933)</t>
  </si>
  <si>
    <t>42+10x</t>
  </si>
  <si>
    <t>13+7x</t>
  </si>
  <si>
    <t>ENA 3030.7 + ENA 3030.6 (6728)</t>
  </si>
  <si>
    <t>&gt;80</t>
  </si>
  <si>
    <t>24+x</t>
  </si>
  <si>
    <t>T-S AS 147.9 (4150)</t>
  </si>
  <si>
    <t>Note</t>
  </si>
  <si>
    <t>Cairo</t>
  </si>
  <si>
    <t>1 dār in Maṣmūṣa, price not listed</t>
  </si>
  <si>
    <t>T-S 24.17 (7562)</t>
  </si>
  <si>
    <t>&gt;27</t>
  </si>
  <si>
    <t>Something in Zuqāq al-Kenisa</t>
  </si>
  <si>
    <t>13+x</t>
  </si>
  <si>
    <t xml:space="preserve">T-S 24.80 (3571)
</t>
  </si>
  <si>
    <t>80+x</t>
  </si>
  <si>
    <t>60+x</t>
  </si>
  <si>
    <t>19+x</t>
  </si>
  <si>
    <t>L-G Misc. 47 (9009)</t>
  </si>
  <si>
    <t>ENA 2716.1 (12735)</t>
  </si>
  <si>
    <t>&gt;97</t>
  </si>
  <si>
    <t>1/8 dār</t>
  </si>
  <si>
    <t>13.33+1x</t>
  </si>
  <si>
    <t>T-S K15.79 (8513)</t>
  </si>
  <si>
    <t>4 or 24</t>
  </si>
  <si>
    <t>45+2x</t>
  </si>
  <si>
    <t>Bodl. MS heb. f 56/53 (6540)</t>
  </si>
  <si>
    <t>120?</t>
  </si>
  <si>
    <t>Yevr.-Arab. I 1700.14 (2720)</t>
  </si>
  <si>
    <t>&gt;91</t>
  </si>
  <si>
    <t>41+x</t>
  </si>
  <si>
    <t>T-S 6J8.7 (18098)</t>
  </si>
  <si>
    <t>&gt;118</t>
  </si>
  <si>
    <t>Bodl. MS heb. d 65/1 (6444)</t>
  </si>
  <si>
    <t>&gt;60</t>
  </si>
  <si>
    <t>&gt;20</t>
  </si>
  <si>
    <t xml:space="preserve"> &gt;40</t>
  </si>
  <si>
    <t>T-S Misc.8.97 (3922)</t>
  </si>
  <si>
    <t>&gt;149</t>
  </si>
  <si>
    <t>3+1x</t>
  </si>
  <si>
    <t>ENA 4020.39 (6865)</t>
  </si>
  <si>
    <t>T-S 20.62 + T-S 24.15 (7560)</t>
  </si>
  <si>
    <t>Alive (sh’tz)</t>
  </si>
  <si>
    <t>Jewelry: 13+1x</t>
  </si>
  <si>
    <t>78+x?</t>
  </si>
  <si>
    <t>34+x?</t>
  </si>
  <si>
    <t xml:space="preserve"> 18+x?</t>
  </si>
  <si>
    <t>T-S K25.269 (8596)</t>
  </si>
  <si>
    <t>12th/13th c</t>
  </si>
  <si>
    <t>157+1x</t>
  </si>
  <si>
    <t>Jewelry: 49 or 53 [I counted lower sum]</t>
  </si>
  <si>
    <t>79? [what I counted, missing 1x but LT was 78]</t>
  </si>
  <si>
    <t>Yevr.-Arab. I 1700.28 (5498)</t>
  </si>
  <si>
    <t>&gt;167</t>
  </si>
  <si>
    <t>150 (listed, counted 104.25+6x)</t>
  </si>
  <si>
    <t>17.071+2x+12 qirats</t>
  </si>
  <si>
    <t>T-S 20.6 (35097)</t>
  </si>
  <si>
    <t>120+x</t>
  </si>
  <si>
    <t xml:space="preserve">1/2 dar on Michael street in Fustat </t>
  </si>
  <si>
    <t>70 (or 70-something)</t>
  </si>
  <si>
    <t>Bodl. MS heb. f 56/56 (6543*3)</t>
  </si>
  <si>
    <t>159 or 161.5 [either way, math doesn’t all work]</t>
  </si>
  <si>
    <t>7/24ths of a dar in Cairo</t>
  </si>
  <si>
    <t>9 or 11.5 (unclear if one number is 0.5 or 3)</t>
  </si>
  <si>
    <t>ENA 4020.3 (11270)</t>
  </si>
  <si>
    <t>&gt;177</t>
  </si>
  <si>
    <t>45+x</t>
  </si>
  <si>
    <t>ENA 4100.8b (11271)</t>
  </si>
  <si>
    <t>154+4x</t>
  </si>
  <si>
    <t>52+1x</t>
  </si>
  <si>
    <t>58+3x</t>
  </si>
  <si>
    <t>T-S NS J410 (8784)</t>
  </si>
  <si>
    <t>92+4x</t>
  </si>
  <si>
    <t>16+4x</t>
  </si>
  <si>
    <t>ENA 3626.6 (6742)</t>
  </si>
  <si>
    <t>157 or 175 +5x</t>
  </si>
  <si>
    <t>103 or 107 +6x</t>
  </si>
  <si>
    <t xml:space="preserve"> 27 +2x</t>
  </si>
  <si>
    <t>T-S 16.181 (35801)</t>
  </si>
  <si>
    <t>Damascus</t>
  </si>
  <si>
    <t>187+x</t>
  </si>
  <si>
    <t>an apartment with two rooms on ground and middle level</t>
  </si>
  <si>
    <t>Bodl. MS heb. a 3/39 (6330)</t>
  </si>
  <si>
    <t>190+x</t>
  </si>
  <si>
    <t>79 +4x</t>
  </si>
  <si>
    <t>40+1x</t>
  </si>
  <si>
    <t>1x</t>
  </si>
  <si>
    <t>T-S 24.16 (7561)</t>
  </si>
  <si>
    <t xml:space="preserve"> &gt;122</t>
  </si>
  <si>
    <t>&gt;74</t>
  </si>
  <si>
    <t>&gt;34</t>
  </si>
  <si>
    <t>T-S 20.2 (7498)</t>
  </si>
  <si>
    <t>&gt;64</t>
  </si>
  <si>
    <t>33+x</t>
  </si>
  <si>
    <t>T-S 13J3.10 (39934)</t>
  </si>
  <si>
    <t>&gt; 210</t>
  </si>
  <si>
    <t>T-S 13J37.11 (8195)</t>
  </si>
  <si>
    <t>Egypt, probably Fustat (“on the river Nile”)</t>
  </si>
  <si>
    <t>&gt;57</t>
  </si>
  <si>
    <t>T-S J3.26 (8426)</t>
  </si>
  <si>
    <t xml:space="preserve"> &gt;195 (a lot likely missing)</t>
  </si>
  <si>
    <t>80 + x</t>
  </si>
  <si>
    <t>47+x</t>
  </si>
  <si>
    <t>63+x</t>
  </si>
  <si>
    <t>ENA 3652.8 + ENA 2747.1 + ENA 2747.2 (6743); read together with T-S J3.26 (8426)</t>
  </si>
  <si>
    <t>T-S 24.8 (35387)</t>
  </si>
  <si>
    <t xml:space="preserve"> 194 + at least 5x</t>
  </si>
  <si>
    <t>70+x</t>
  </si>
  <si>
    <t>104+ &gt;5x</t>
  </si>
  <si>
    <t>T-S 20.8 + T-S 12.552 (7501)</t>
  </si>
  <si>
    <t>164+x (=&lt;345)</t>
  </si>
  <si>
    <t>32+x</t>
  </si>
  <si>
    <t>85+x</t>
  </si>
  <si>
    <t>42+x</t>
  </si>
  <si>
    <t>Bodl. MS heb. a 3/46 (6335)</t>
  </si>
  <si>
    <t>&gt;53</t>
  </si>
  <si>
    <t>50+x</t>
  </si>
  <si>
    <t>T-S 10J21.4 (7903)</t>
  </si>
  <si>
    <t>284+8x</t>
  </si>
  <si>
    <t>58+4x,</t>
  </si>
  <si>
    <t xml:space="preserve"> 115+1x</t>
  </si>
  <si>
    <t xml:space="preserve">46+3x </t>
  </si>
  <si>
    <t>Bodl. MS heb. b 12/11
(6360)</t>
  </si>
  <si>
    <t>14+2x</t>
  </si>
  <si>
    <t>11+1x</t>
  </si>
  <si>
    <t>ENA 2727.8a (2642)</t>
  </si>
  <si>
    <t>&gt;346</t>
  </si>
  <si>
    <t>ENA 2743.2 (2655)</t>
  </si>
  <si>
    <t>&gt;315</t>
  </si>
  <si>
    <t>208+1x</t>
  </si>
  <si>
    <t>12+x</t>
  </si>
  <si>
    <t>T-S K25.147 (35314)</t>
  </si>
  <si>
    <t>&gt;188</t>
  </si>
  <si>
    <t>Missing</t>
  </si>
  <si>
    <t>T-S NS 320.34a + T-S NS 320.34b (8669)</t>
  </si>
  <si>
    <t>161+x</t>
  </si>
  <si>
    <t xml:space="preserve">“a house over the stables in the [city of...]" </t>
  </si>
  <si>
    <t>55+x</t>
  </si>
  <si>
    <t>31+x</t>
  </si>
  <si>
    <t>T-S Ar.4.4 + T-S K25.42 (8137)</t>
  </si>
  <si>
    <t>377.58+3x</t>
  </si>
  <si>
    <t>86+3x</t>
  </si>
  <si>
    <t>Bodl. MS heb. d 65/30 (561)</t>
  </si>
  <si>
    <t>T-S Ar.6.2 (8144)</t>
  </si>
  <si>
    <t>T-S Misc.29.29 (8395)</t>
  </si>
  <si>
    <t>373+7x</t>
  </si>
  <si>
    <t>47+2x</t>
  </si>
  <si>
    <t>284+5x</t>
  </si>
  <si>
    <t xml:space="preserve">T-S 24.45 + T-S NS J86 (7572)
</t>
  </si>
  <si>
    <t>&gt;217</t>
  </si>
  <si>
    <t>116+x</t>
  </si>
  <si>
    <t>Bodl. MS heb. a 3/43 (6332)</t>
  </si>
  <si>
    <t>451+4x</t>
  </si>
  <si>
    <t>104+1x</t>
  </si>
  <si>
    <t>180+3x</t>
  </si>
  <si>
    <t>T-S 13J7.8 + T-S NS J390 (7977)</t>
  </si>
  <si>
    <t>487+x</t>
  </si>
  <si>
    <t>ENA 2808.13 (6706)</t>
  </si>
  <si>
    <t>&gt;400</t>
  </si>
  <si>
    <t>Yes, in Zuwayla (price and size not preserved)</t>
  </si>
  <si>
    <t>132+3x</t>
  </si>
  <si>
    <t>153+3x</t>
  </si>
  <si>
    <t>115+2x</t>
  </si>
  <si>
    <t>Bodl. MS heb. d 66/48 + Bodl. MS heb. d 66/47 (576)</t>
  </si>
  <si>
    <t>Engagement</t>
  </si>
  <si>
    <t>5 shares of al-Lebdi’s dār in Qasr al-Shema’; and 1/2 dār from her dad in Maṣmūṣa (both neighborhoods in Fustat), no value listed</t>
  </si>
  <si>
    <t>Yevr.-Arab. I 1700.25r–26r (2725)</t>
  </si>
  <si>
    <t>515 + RE</t>
  </si>
  <si>
    <t>2 different 1/2 dārs next to each other in Ḥārat Zuwayla, Cairo, price not listed</t>
  </si>
  <si>
    <t>CUL Or.1080 5.15 (8840)</t>
  </si>
  <si>
    <t>41+2-5x</t>
  </si>
  <si>
    <t>25 (unclear if slave or unknown)</t>
  </si>
  <si>
    <t>CUL Or.1081 J56 (8957)</t>
  </si>
  <si>
    <t>43 + 2x</t>
  </si>
  <si>
    <t>84+1x (mostly bedding?)</t>
  </si>
  <si>
    <t>Yevr.-Arab. I 1700.26v–27v (2726)</t>
  </si>
  <si>
    <t>&gt;597 (missing at least 2x and unclear how much else)</t>
  </si>
  <si>
    <t>160 something</t>
  </si>
  <si>
    <t>12+1x</t>
  </si>
  <si>
    <t>ENA 2738.33 (6682)</t>
  </si>
  <si>
    <t>502+5x</t>
  </si>
  <si>
    <t>30+2x</t>
  </si>
  <si>
    <t>87+2x</t>
  </si>
  <si>
    <t>295+1x</t>
  </si>
  <si>
    <t>T-S 12.535 + T-S NS 320.76b + T-S NS 323.35 + T-S NS 320.76a (1480)</t>
  </si>
  <si>
    <t>Two dirot in Ramla worth 400</t>
  </si>
  <si>
    <t>Bodl. MS heb. a 3/42 (506)</t>
  </si>
  <si>
    <t>585.5+x</t>
  </si>
  <si>
    <t>162+x</t>
  </si>
  <si>
    <t>171+x</t>
  </si>
  <si>
    <t>142+x</t>
  </si>
  <si>
    <t>110.5+x</t>
  </si>
  <si>
    <t>Bodl. MS heb. d 65/26 + ENA NS 3.24 + Bodl. MS heb. b 3/28 + T-S 12.128 (560)</t>
  </si>
  <si>
    <t>Egypt, Tinnīs?</t>
  </si>
  <si>
    <t>T-S 24.2 (7553)</t>
  </si>
  <si>
    <t>10th/11th c</t>
  </si>
  <si>
    <t>T-S 24.1 (3559)</t>
  </si>
  <si>
    <t>534+x</t>
  </si>
  <si>
    <t>44+x</t>
  </si>
  <si>
    <t>T-S J1.29 (1316)</t>
  </si>
  <si>
    <t>T-S 12.715 + Bodl. MS heb. a 3/34 (20068)</t>
  </si>
  <si>
    <t>Egypt?</t>
  </si>
  <si>
    <t>&gt;3664</t>
  </si>
  <si>
    <t>2220 (listed, sum total is just 39.5)</t>
  </si>
  <si>
    <t>836+x</t>
  </si>
  <si>
    <t>560+x</t>
  </si>
  <si>
    <t>T-S 10J7.13 (3050)</t>
  </si>
  <si>
    <t>30 + RE</t>
  </si>
  <si>
    <t>The room (majlis) by the door, the loft above it, and the use of the well? Or an area below the well? No value listed.</t>
  </si>
  <si>
    <t>T-S 12.155 (7159)</t>
  </si>
  <si>
    <t>one hundred and something</t>
  </si>
  <si>
    <t>Bodl. MS heb. a 2/5 + T-S 16.152 (7420)</t>
  </si>
  <si>
    <t>7 items of clothing, 2 items of bedding (no prices)</t>
  </si>
  <si>
    <t>T-S 24.13 (7558)</t>
  </si>
  <si>
    <t>&gt;54</t>
  </si>
  <si>
    <t>14+x</t>
  </si>
  <si>
    <t>T-S 24.5 (7554)</t>
  </si>
  <si>
    <t>&gt;39</t>
  </si>
  <si>
    <t>1/2 dār worth 14 dinars</t>
  </si>
  <si>
    <t>T-S 12.163 (7165)</t>
  </si>
  <si>
    <t>T-S 8J5.18 (2139)</t>
  </si>
  <si>
    <t>&gt;30.5</t>
  </si>
  <si>
    <t>30.5+x</t>
  </si>
  <si>
    <t>T-S 12.443 (7224)</t>
  </si>
  <si>
    <t>&gt;11</t>
  </si>
  <si>
    <t>&gt;5</t>
  </si>
  <si>
    <t xml:space="preserve"> &gt;6</t>
  </si>
  <si>
    <t>T-S 12.526 (7253)</t>
  </si>
  <si>
    <t xml:space="preserve"> &gt;15</t>
  </si>
  <si>
    <t xml:space="preserve">&gt;14, </t>
  </si>
  <si>
    <t>T-S 20.10 (7502)</t>
  </si>
  <si>
    <t>&gt;48</t>
  </si>
  <si>
    <t>&gt;4</t>
  </si>
  <si>
    <t>&gt;32</t>
  </si>
  <si>
    <t xml:space="preserve"> &gt;6,</t>
  </si>
  <si>
    <t>&gt;6</t>
  </si>
  <si>
    <t>T-S 16.71 (7376)</t>
  </si>
  <si>
    <t>T-S K15.111 (8524)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</si>
</sst>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applyNumberFormat="0" applyFont="1" applyFill="0" applyBorder="0" applyAlignment="1" applyProtection="0">
      <alignment horizontal="left" vertical="center"/>
    </xf>
    <xf numFmtId="49" fontId="3" fillId="2" borderId="1" applyNumberFormat="1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49" fontId="4" borderId="4" applyNumberFormat="1" applyFont="1" applyFill="0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4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4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horizontal="right" vertical="top" wrapText="1" readingOrder="2"/>
    </xf>
    <xf numFmtId="49" fontId="3" fillId="4" borderId="5" applyNumberFormat="1" applyFont="1" applyFill="1" applyBorder="1" applyAlignment="1" applyProtection="0">
      <alignment vertical="top" wrapText="1"/>
    </xf>
    <xf numFmtId="49" fontId="3" fillId="5" borderId="5" applyNumberFormat="1" applyFont="1" applyFill="1" applyBorder="1" applyAlignment="1" applyProtection="0">
      <alignment vertical="top" wrapText="1"/>
    </xf>
    <xf numFmtId="49" fontId="0" fillId="5" borderId="7" applyNumberFormat="1" applyFont="1" applyFill="1" applyBorder="1" applyAlignment="1" applyProtection="0">
      <alignment vertical="top" wrapText="1"/>
    </xf>
    <xf numFmtId="0" fontId="0" fillId="5" borderId="7" applyNumberFormat="1" applyFont="1" applyFill="1" applyBorder="1" applyAlignment="1" applyProtection="0">
      <alignment vertical="top" wrapText="1"/>
    </xf>
    <xf numFmtId="0" fontId="4" fillId="6" borderId="7" applyNumberFormat="1" applyFont="1" applyFill="1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horizontal="left" vertical="top" wrapText="1"/>
    </xf>
    <xf numFmtId="49" fontId="0" borderId="7" applyNumberFormat="1" applyFont="1" applyFill="0" applyBorder="1" applyAlignment="1" applyProtection="0">
      <alignment horizontal="left" vertical="top" wrapText="1"/>
    </xf>
    <xf numFmtId="0" fontId="4" fillId="5" borderId="7" applyNumberFormat="1" applyFont="1" applyFill="1" applyBorder="1" applyAlignment="1" applyProtection="0">
      <alignment vertical="top" wrapText="1"/>
    </xf>
    <xf numFmtId="0" fontId="0" fillId="5" borderId="7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horizontal="right" vertical="top" wrapText="1" readingOrder="2"/>
    </xf>
    <xf numFmtId="0" fontId="3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d5d5d5"/>
      <rgbColor rgb="fffff056"/>
      <rgbColor rgb="ffff968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V14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10.1328" style="1" customWidth="1"/>
    <col min="3" max="3" width="9.53906" style="1" customWidth="1"/>
    <col min="4" max="7" width="9.60156" style="1" customWidth="1"/>
    <col min="8" max="22" width="16.3516" style="1" customWidth="1"/>
    <col min="23" max="16384" width="16.3516" style="1" customWidth="1"/>
  </cols>
  <sheetData>
    <row r="1" ht="28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44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</row>
    <row r="3" ht="32.25" customHeight="1">
      <c r="A3" t="s" s="4">
        <v>23</v>
      </c>
      <c r="B3" t="s" s="5">
        <v>24</v>
      </c>
      <c r="C3" t="s" s="6">
        <v>25</v>
      </c>
      <c r="D3" t="s" s="6">
        <v>26</v>
      </c>
      <c r="E3" t="s" s="6">
        <v>27</v>
      </c>
      <c r="F3" t="s" s="6">
        <v>28</v>
      </c>
      <c r="G3" s="7">
        <v>990</v>
      </c>
      <c r="H3" t="s" s="8">
        <v>29</v>
      </c>
      <c r="I3" t="s" s="6">
        <v>21</v>
      </c>
      <c r="J3" t="s" s="6">
        <v>21</v>
      </c>
      <c r="K3" s="7">
        <v>50</v>
      </c>
      <c r="L3" s="7">
        <v>100</v>
      </c>
      <c r="M3" s="7">
        <v>150</v>
      </c>
      <c r="N3" s="7">
        <v>0</v>
      </c>
      <c r="O3" s="7">
        <v>0</v>
      </c>
      <c r="P3" t="s" s="6">
        <v>24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</row>
    <row r="4" ht="20.05" customHeight="1">
      <c r="A4" t="s" s="9">
        <v>30</v>
      </c>
      <c r="B4" t="s" s="10">
        <v>24</v>
      </c>
      <c r="C4" t="s" s="11">
        <v>21</v>
      </c>
      <c r="D4" t="s" s="11">
        <v>26</v>
      </c>
      <c r="E4" t="s" s="11">
        <v>21</v>
      </c>
      <c r="F4" t="s" s="11">
        <v>21</v>
      </c>
      <c r="G4" t="s" s="11">
        <v>21</v>
      </c>
      <c r="H4" t="s" s="11">
        <v>21</v>
      </c>
      <c r="I4" t="s" s="11">
        <v>31</v>
      </c>
      <c r="J4" t="s" s="11">
        <v>31</v>
      </c>
      <c r="K4" s="12">
        <v>11</v>
      </c>
      <c r="L4" s="12">
        <v>3</v>
      </c>
      <c r="M4" s="12">
        <v>14</v>
      </c>
      <c r="N4" s="12">
        <v>0</v>
      </c>
      <c r="O4" s="12">
        <v>0</v>
      </c>
      <c r="P4" t="s" s="11">
        <v>24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</row>
    <row r="5" ht="32.05" customHeight="1">
      <c r="A5" t="s" s="9">
        <v>32</v>
      </c>
      <c r="B5" t="s" s="10">
        <v>24</v>
      </c>
      <c r="C5" t="s" s="11">
        <v>21</v>
      </c>
      <c r="D5" t="s" s="11">
        <v>33</v>
      </c>
      <c r="E5" t="s" s="11">
        <v>21</v>
      </c>
      <c r="F5" t="s" s="11">
        <v>21</v>
      </c>
      <c r="G5" t="s" s="11">
        <v>21</v>
      </c>
      <c r="H5" t="s" s="11">
        <v>21</v>
      </c>
      <c r="I5" t="s" s="11">
        <v>21</v>
      </c>
      <c r="J5" t="s" s="11">
        <v>21</v>
      </c>
      <c r="K5" s="13">
        <v>0.5</v>
      </c>
      <c r="L5" s="12">
        <v>0</v>
      </c>
      <c r="M5" s="13">
        <v>0.5</v>
      </c>
      <c r="N5" s="12">
        <v>3</v>
      </c>
      <c r="O5" t="s" s="11">
        <v>34</v>
      </c>
      <c r="P5" t="s" s="11">
        <v>24</v>
      </c>
      <c r="Q5" s="12">
        <v>0</v>
      </c>
      <c r="R5" s="13">
        <v>1.5</v>
      </c>
      <c r="S5" s="13">
        <v>1.5</v>
      </c>
      <c r="T5" s="12">
        <v>0</v>
      </c>
      <c r="U5" s="12">
        <v>0</v>
      </c>
      <c r="V5" s="12">
        <v>0</v>
      </c>
    </row>
    <row r="6" ht="32.05" customHeight="1">
      <c r="A6" t="s" s="9">
        <v>35</v>
      </c>
      <c r="B6" t="s" s="10">
        <v>24</v>
      </c>
      <c r="C6" t="s" s="11">
        <v>36</v>
      </c>
      <c r="D6" t="s" s="11">
        <v>26</v>
      </c>
      <c r="E6" t="s" s="11">
        <v>37</v>
      </c>
      <c r="F6" t="s" s="11">
        <v>38</v>
      </c>
      <c r="G6" s="12">
        <v>1124</v>
      </c>
      <c r="H6" t="s" s="11">
        <v>39</v>
      </c>
      <c r="I6" t="s" s="11">
        <v>40</v>
      </c>
      <c r="J6" t="s" s="11">
        <v>31</v>
      </c>
      <c r="K6" s="12">
        <v>5</v>
      </c>
      <c r="L6" s="12">
        <v>10</v>
      </c>
      <c r="M6" s="12">
        <v>15</v>
      </c>
      <c r="N6" s="12">
        <v>5</v>
      </c>
      <c r="O6" s="14"/>
      <c r="P6" t="s" s="11">
        <v>24</v>
      </c>
      <c r="Q6" s="14"/>
      <c r="R6" s="14"/>
      <c r="S6" s="14"/>
      <c r="T6" s="14"/>
      <c r="U6" s="14"/>
      <c r="V6" s="14"/>
    </row>
    <row r="7" ht="32.05" customHeight="1">
      <c r="A7" t="s" s="9">
        <v>41</v>
      </c>
      <c r="B7" t="s" s="10">
        <v>24</v>
      </c>
      <c r="C7" t="s" s="11">
        <v>36</v>
      </c>
      <c r="D7" t="s" s="11">
        <v>26</v>
      </c>
      <c r="E7" t="s" s="11">
        <v>42</v>
      </c>
      <c r="F7" t="s" s="11">
        <v>43</v>
      </c>
      <c r="G7" s="12">
        <v>1133</v>
      </c>
      <c r="H7" t="s" s="11">
        <v>39</v>
      </c>
      <c r="I7" t="s" s="11">
        <v>31</v>
      </c>
      <c r="J7" t="s" s="11">
        <v>40</v>
      </c>
      <c r="K7" s="12">
        <v>1</v>
      </c>
      <c r="L7" s="12">
        <v>3</v>
      </c>
      <c r="M7" s="12">
        <v>4</v>
      </c>
      <c r="N7" s="12">
        <v>5</v>
      </c>
      <c r="O7" s="12">
        <v>5</v>
      </c>
      <c r="P7" t="s" s="11">
        <v>24</v>
      </c>
      <c r="Q7" s="12">
        <v>0</v>
      </c>
      <c r="R7" s="12">
        <v>5</v>
      </c>
      <c r="S7" s="12">
        <v>0</v>
      </c>
      <c r="T7" s="12">
        <v>0</v>
      </c>
      <c r="U7" s="12">
        <v>0</v>
      </c>
      <c r="V7" s="12">
        <v>0</v>
      </c>
    </row>
    <row r="8" ht="32.05" customHeight="1">
      <c r="A8" t="s" s="9">
        <v>44</v>
      </c>
      <c r="B8" t="s" s="10">
        <v>45</v>
      </c>
      <c r="C8" t="s" s="11">
        <v>46</v>
      </c>
      <c r="D8" t="s" s="11">
        <v>26</v>
      </c>
      <c r="E8" t="s" s="11">
        <v>47</v>
      </c>
      <c r="F8" t="s" s="11">
        <v>43</v>
      </c>
      <c r="G8" s="12">
        <v>1081</v>
      </c>
      <c r="H8" t="s" s="11">
        <v>39</v>
      </c>
      <c r="I8" t="s" s="11">
        <v>40</v>
      </c>
      <c r="J8" t="s" s="11">
        <v>40</v>
      </c>
      <c r="K8" s="12">
        <v>2</v>
      </c>
      <c r="L8" s="12">
        <v>10</v>
      </c>
      <c r="M8" s="12">
        <v>12</v>
      </c>
      <c r="N8" s="12">
        <v>5.333</v>
      </c>
      <c r="O8" s="12">
        <v>5</v>
      </c>
      <c r="P8" t="s" s="11">
        <v>24</v>
      </c>
      <c r="Q8" s="12">
        <v>0</v>
      </c>
      <c r="R8" s="12">
        <v>1</v>
      </c>
      <c r="S8" s="12">
        <v>3</v>
      </c>
      <c r="T8" s="12">
        <v>0</v>
      </c>
      <c r="U8" s="12">
        <v>1</v>
      </c>
      <c r="V8" s="12">
        <v>0</v>
      </c>
    </row>
    <row r="9" ht="68.05" customHeight="1">
      <c r="A9" t="s" s="9">
        <v>48</v>
      </c>
      <c r="B9" t="s" s="10">
        <v>24</v>
      </c>
      <c r="C9" t="s" s="11">
        <v>36</v>
      </c>
      <c r="D9" t="s" s="11">
        <v>26</v>
      </c>
      <c r="E9" t="s" s="11">
        <v>37</v>
      </c>
      <c r="F9" t="s" s="11">
        <v>38</v>
      </c>
      <c r="G9" s="12">
        <v>1126</v>
      </c>
      <c r="H9" t="s" s="11">
        <v>39</v>
      </c>
      <c r="I9" t="s" s="11">
        <v>40</v>
      </c>
      <c r="J9" t="s" s="11">
        <v>31</v>
      </c>
      <c r="K9" s="12">
        <v>3</v>
      </c>
      <c r="L9" s="12">
        <v>10</v>
      </c>
      <c r="M9" s="12">
        <v>13</v>
      </c>
      <c r="N9" s="12">
        <v>7</v>
      </c>
      <c r="O9" s="12">
        <v>7.5</v>
      </c>
      <c r="P9" t="s" s="11">
        <v>49</v>
      </c>
      <c r="Q9" s="12">
        <v>0</v>
      </c>
      <c r="R9" s="12">
        <v>3.5</v>
      </c>
      <c r="S9" s="12">
        <v>3</v>
      </c>
      <c r="T9" s="12">
        <v>1</v>
      </c>
      <c r="U9" s="12">
        <v>0</v>
      </c>
      <c r="V9" s="12">
        <v>0</v>
      </c>
    </row>
    <row r="10" ht="32.05" customHeight="1">
      <c r="A10" t="s" s="9">
        <v>50</v>
      </c>
      <c r="B10" t="s" s="10">
        <v>24</v>
      </c>
      <c r="C10" t="s" s="11">
        <v>46</v>
      </c>
      <c r="D10" t="s" s="11">
        <v>26</v>
      </c>
      <c r="E10" t="s" s="11">
        <v>37</v>
      </c>
      <c r="F10" t="s" s="11">
        <v>38</v>
      </c>
      <c r="G10" s="12">
        <v>1094</v>
      </c>
      <c r="H10" t="s" s="11">
        <v>29</v>
      </c>
      <c r="I10" t="s" s="11">
        <v>40</v>
      </c>
      <c r="J10" t="s" s="11">
        <v>40</v>
      </c>
      <c r="K10" s="12">
        <v>5</v>
      </c>
      <c r="L10" s="12">
        <v>15</v>
      </c>
      <c r="M10" s="12">
        <v>20</v>
      </c>
      <c r="N10" s="13">
        <v>9</v>
      </c>
      <c r="O10" t="s" s="11">
        <v>51</v>
      </c>
      <c r="P10" t="s" s="11">
        <v>24</v>
      </c>
      <c r="Q10" s="12">
        <v>0</v>
      </c>
      <c r="R10" t="s" s="11">
        <v>52</v>
      </c>
      <c r="S10" s="12">
        <v>0</v>
      </c>
      <c r="T10" s="12">
        <v>0</v>
      </c>
      <c r="U10" t="s" s="11">
        <v>52</v>
      </c>
      <c r="V10" s="12">
        <v>0</v>
      </c>
    </row>
    <row r="11" ht="32.05" customHeight="1">
      <c r="A11" t="s" s="9">
        <v>53</v>
      </c>
      <c r="B11" t="s" s="10">
        <v>24</v>
      </c>
      <c r="C11" t="s" s="11">
        <v>21</v>
      </c>
      <c r="D11" t="s" s="11">
        <v>26</v>
      </c>
      <c r="E11" t="s" s="11">
        <v>21</v>
      </c>
      <c r="F11" t="s" s="11">
        <v>21</v>
      </c>
      <c r="G11" t="s" s="11">
        <v>21</v>
      </c>
      <c r="H11" t="s" s="11">
        <v>21</v>
      </c>
      <c r="I11" t="s" s="11">
        <v>40</v>
      </c>
      <c r="J11" t="s" s="11">
        <v>21</v>
      </c>
      <c r="K11" s="12">
        <v>6</v>
      </c>
      <c r="L11" s="13">
        <v>9</v>
      </c>
      <c r="M11" s="12">
        <v>15</v>
      </c>
      <c r="N11" s="12">
        <v>9</v>
      </c>
      <c r="O11" t="s" s="11">
        <v>54</v>
      </c>
      <c r="P11" t="s" s="11">
        <v>49</v>
      </c>
      <c r="Q11" s="12">
        <v>2</v>
      </c>
      <c r="R11" s="12">
        <v>3</v>
      </c>
      <c r="S11" s="13">
        <v>2</v>
      </c>
      <c r="T11" s="12">
        <v>3</v>
      </c>
      <c r="U11" s="12">
        <v>0</v>
      </c>
      <c r="V11" s="12">
        <v>0</v>
      </c>
    </row>
    <row r="12" ht="20.05" customHeight="1">
      <c r="A12" t="s" s="9">
        <v>55</v>
      </c>
      <c r="B12" t="s" s="10">
        <v>24</v>
      </c>
      <c r="C12" t="s" s="15">
        <v>46</v>
      </c>
      <c r="D12" t="s" s="11">
        <v>26</v>
      </c>
      <c r="E12" t="s" s="11">
        <v>56</v>
      </c>
      <c r="F12" t="s" s="11">
        <v>57</v>
      </c>
      <c r="G12" t="s" s="11">
        <v>21</v>
      </c>
      <c r="H12" t="s" s="11">
        <v>21</v>
      </c>
      <c r="I12" t="s" s="11">
        <v>21</v>
      </c>
      <c r="J12" t="s" s="11">
        <v>21</v>
      </c>
      <c r="K12" s="13">
        <v>5</v>
      </c>
      <c r="L12" s="12">
        <v>10</v>
      </c>
      <c r="M12" s="13">
        <v>15</v>
      </c>
      <c r="N12" s="12">
        <v>9.333</v>
      </c>
      <c r="O12" s="12">
        <v>9</v>
      </c>
      <c r="P12" t="s" s="11">
        <v>24</v>
      </c>
      <c r="Q12" s="12">
        <v>0</v>
      </c>
      <c r="R12" s="12">
        <f>2+3+1.5+2</f>
        <v>8.5</v>
      </c>
      <c r="S12" s="12">
        <v>0.5</v>
      </c>
      <c r="T12" s="12">
        <v>0</v>
      </c>
      <c r="U12" s="12">
        <v>0</v>
      </c>
      <c r="V12" s="12">
        <v>0</v>
      </c>
    </row>
    <row r="13" ht="32.05" customHeight="1">
      <c r="A13" t="s" s="9">
        <v>58</v>
      </c>
      <c r="B13" t="s" s="10">
        <v>24</v>
      </c>
      <c r="C13" t="s" s="11">
        <v>36</v>
      </c>
      <c r="D13" t="s" s="11">
        <v>26</v>
      </c>
      <c r="E13" t="s" s="11">
        <v>37</v>
      </c>
      <c r="F13" t="s" s="11">
        <v>38</v>
      </c>
      <c r="G13" s="12">
        <v>1164</v>
      </c>
      <c r="H13" t="s" s="11">
        <v>29</v>
      </c>
      <c r="I13" t="s" s="11">
        <v>21</v>
      </c>
      <c r="J13" t="s" s="11">
        <v>40</v>
      </c>
      <c r="K13" s="13">
        <v>5</v>
      </c>
      <c r="L13" s="13">
        <v>5</v>
      </c>
      <c r="M13" s="12">
        <v>10</v>
      </c>
      <c r="N13" s="12">
        <v>13</v>
      </c>
      <c r="O13" s="14"/>
      <c r="P13" t="s" s="11">
        <v>24</v>
      </c>
      <c r="Q13" s="14"/>
      <c r="R13" s="14"/>
      <c r="S13" s="14"/>
      <c r="T13" s="14"/>
      <c r="U13" s="14"/>
      <c r="V13" s="14"/>
    </row>
    <row r="14" ht="32.05" customHeight="1">
      <c r="A14" t="s" s="9">
        <v>59</v>
      </c>
      <c r="B14" t="s" s="10">
        <v>24</v>
      </c>
      <c r="C14" t="s" s="11">
        <v>46</v>
      </c>
      <c r="D14" t="s" s="11">
        <v>26</v>
      </c>
      <c r="E14" t="s" s="11">
        <v>60</v>
      </c>
      <c r="F14" t="s" s="11">
        <v>38</v>
      </c>
      <c r="G14" s="13">
        <v>1080</v>
      </c>
      <c r="H14" t="s" s="11">
        <v>39</v>
      </c>
      <c r="I14" t="s" s="11">
        <v>21</v>
      </c>
      <c r="J14" t="s" s="11">
        <v>21</v>
      </c>
      <c r="K14" s="12">
        <v>3</v>
      </c>
      <c r="L14" s="12">
        <v>6</v>
      </c>
      <c r="M14" s="12">
        <v>9</v>
      </c>
      <c r="N14" s="12">
        <v>15</v>
      </c>
      <c r="O14" t="s" s="11">
        <v>61</v>
      </c>
      <c r="P14" t="s" s="11">
        <v>62</v>
      </c>
      <c r="Q14" s="14"/>
      <c r="R14" s="14"/>
      <c r="S14" s="14"/>
      <c r="T14" s="14"/>
      <c r="U14" s="14"/>
      <c r="V14" s="14"/>
    </row>
    <row r="15" ht="44.05" customHeight="1">
      <c r="A15" t="s" s="9">
        <v>63</v>
      </c>
      <c r="B15" t="s" s="10">
        <v>45</v>
      </c>
      <c r="C15" t="s" s="11">
        <v>36</v>
      </c>
      <c r="D15" t="s" s="11">
        <v>33</v>
      </c>
      <c r="E15" t="s" s="11">
        <v>64</v>
      </c>
      <c r="F15" t="s" s="11">
        <v>38</v>
      </c>
      <c r="G15" s="12">
        <v>1186</v>
      </c>
      <c r="H15" t="s" s="11">
        <v>21</v>
      </c>
      <c r="I15" t="s" s="11">
        <v>21</v>
      </c>
      <c r="J15" t="s" s="11">
        <v>21</v>
      </c>
      <c r="K15" s="12">
        <v>5</v>
      </c>
      <c r="L15" s="12">
        <v>20</v>
      </c>
      <c r="M15" s="12">
        <v>25</v>
      </c>
      <c r="N15" s="12">
        <v>15</v>
      </c>
      <c r="O15" s="12">
        <v>15.5</v>
      </c>
      <c r="P15" t="s" s="11">
        <v>24</v>
      </c>
      <c r="Q15" s="12">
        <v>1</v>
      </c>
      <c r="R15" s="12">
        <v>8.5</v>
      </c>
      <c r="S15" s="12">
        <v>1.25</v>
      </c>
      <c r="T15" s="12">
        <v>4.75</v>
      </c>
      <c r="U15" s="12">
        <v>0</v>
      </c>
      <c r="V15" s="12">
        <v>0</v>
      </c>
    </row>
    <row r="16" ht="44.05" customHeight="1">
      <c r="A16" t="s" s="9">
        <v>65</v>
      </c>
      <c r="B16" t="s" s="10">
        <v>45</v>
      </c>
      <c r="C16" t="s" s="11">
        <v>25</v>
      </c>
      <c r="D16" t="s" s="11">
        <v>26</v>
      </c>
      <c r="E16" t="s" s="11">
        <v>66</v>
      </c>
      <c r="F16" t="s" s="11">
        <v>43</v>
      </c>
      <c r="G16" s="12">
        <v>945</v>
      </c>
      <c r="H16" t="s" s="11">
        <v>29</v>
      </c>
      <c r="I16" t="s" s="11">
        <v>31</v>
      </c>
      <c r="J16" t="s" s="11">
        <v>40</v>
      </c>
      <c r="K16" s="12">
        <v>2</v>
      </c>
      <c r="L16" s="12">
        <v>4</v>
      </c>
      <c r="M16" s="12">
        <v>6</v>
      </c>
      <c r="N16" s="12">
        <v>16.333</v>
      </c>
      <c r="O16" s="12">
        <v>16.333</v>
      </c>
      <c r="P16" t="s" s="11">
        <v>24</v>
      </c>
      <c r="Q16" s="12">
        <v>0</v>
      </c>
      <c r="R16" s="12">
        <v>5</v>
      </c>
      <c r="S16" s="12">
        <v>3</v>
      </c>
      <c r="T16" s="12">
        <v>8.333</v>
      </c>
      <c r="U16" s="12">
        <v>0</v>
      </c>
      <c r="V16" s="12">
        <v>0</v>
      </c>
    </row>
    <row r="17" ht="32.05" customHeight="1">
      <c r="A17" t="s" s="9">
        <v>67</v>
      </c>
      <c r="B17" t="s" s="10">
        <v>24</v>
      </c>
      <c r="C17" t="s" s="11">
        <v>46</v>
      </c>
      <c r="D17" t="s" s="11">
        <v>26</v>
      </c>
      <c r="E17" t="s" s="11">
        <v>68</v>
      </c>
      <c r="F17" t="s" s="11">
        <v>57</v>
      </c>
      <c r="G17" s="12">
        <v>1079</v>
      </c>
      <c r="H17" t="s" s="11">
        <v>21</v>
      </c>
      <c r="I17" t="s" s="11">
        <v>21</v>
      </c>
      <c r="J17" t="s" s="11">
        <v>40</v>
      </c>
      <c r="K17" s="12">
        <v>2</v>
      </c>
      <c r="L17" s="12">
        <v>10</v>
      </c>
      <c r="M17" s="12">
        <v>12</v>
      </c>
      <c r="N17" s="12">
        <v>16.75</v>
      </c>
      <c r="O17" s="12">
        <v>17.75</v>
      </c>
      <c r="P17" t="s" s="11">
        <v>24</v>
      </c>
      <c r="Q17" s="12">
        <v>2</v>
      </c>
      <c r="R17" s="12">
        <v>8.75</v>
      </c>
      <c r="S17" s="12">
        <v>2</v>
      </c>
      <c r="T17" s="12">
        <v>5</v>
      </c>
      <c r="U17" s="12">
        <v>0</v>
      </c>
      <c r="V17" s="12">
        <v>0</v>
      </c>
    </row>
    <row r="18" ht="32.05" customHeight="1">
      <c r="A18" t="s" s="9">
        <v>69</v>
      </c>
      <c r="B18" t="s" s="10">
        <v>45</v>
      </c>
      <c r="C18" t="s" s="11">
        <v>46</v>
      </c>
      <c r="D18" t="s" s="11">
        <v>26</v>
      </c>
      <c r="E18" t="s" s="11">
        <v>70</v>
      </c>
      <c r="F18" t="s" s="11">
        <v>57</v>
      </c>
      <c r="G18" s="12">
        <v>1051</v>
      </c>
      <c r="H18" t="s" s="11">
        <v>39</v>
      </c>
      <c r="I18" t="s" s="11">
        <v>21</v>
      </c>
      <c r="J18" t="s" s="11">
        <v>21</v>
      </c>
      <c r="K18" s="12">
        <v>2</v>
      </c>
      <c r="L18" s="12">
        <v>5</v>
      </c>
      <c r="M18" s="12">
        <v>7</v>
      </c>
      <c r="N18" s="12">
        <v>17.333</v>
      </c>
      <c r="O18" s="12">
        <v>13.333</v>
      </c>
      <c r="P18" t="s" s="11">
        <v>49</v>
      </c>
      <c r="Q18" s="13">
        <v>2</v>
      </c>
      <c r="R18" s="13">
        <v>8</v>
      </c>
      <c r="S18" s="13">
        <v>1.3</v>
      </c>
      <c r="T18" s="13">
        <v>4</v>
      </c>
      <c r="U18" s="13">
        <v>2</v>
      </c>
      <c r="V18" s="12">
        <v>0</v>
      </c>
    </row>
    <row r="19" ht="32.05" customHeight="1">
      <c r="A19" t="s" s="9">
        <v>71</v>
      </c>
      <c r="B19" t="s" s="10">
        <v>45</v>
      </c>
      <c r="C19" t="s" s="11">
        <v>46</v>
      </c>
      <c r="D19" t="s" s="11">
        <v>26</v>
      </c>
      <c r="E19" t="s" s="11">
        <v>72</v>
      </c>
      <c r="F19" t="s" s="11">
        <v>43</v>
      </c>
      <c r="G19" s="12">
        <v>1083</v>
      </c>
      <c r="H19" t="s" s="11">
        <v>29</v>
      </c>
      <c r="I19" t="s" s="11">
        <v>40</v>
      </c>
      <c r="J19" t="s" s="11">
        <v>40</v>
      </c>
      <c r="K19" s="12">
        <v>10</v>
      </c>
      <c r="L19" s="12">
        <v>20</v>
      </c>
      <c r="M19" s="12">
        <v>30</v>
      </c>
      <c r="N19" s="12">
        <v>19</v>
      </c>
      <c r="O19" s="12">
        <f>Q19+T19+S19+R19</f>
        <v>19</v>
      </c>
      <c r="P19" t="s" s="11">
        <v>24</v>
      </c>
      <c r="Q19" s="12">
        <f>3+3+2</f>
        <v>8</v>
      </c>
      <c r="R19" s="12">
        <f>2+2+1.25+1</f>
        <v>6.25</v>
      </c>
      <c r="S19" s="12">
        <f>1+1+1+1+0.5</f>
        <v>4.5</v>
      </c>
      <c r="T19" s="12">
        <v>0.25</v>
      </c>
      <c r="U19" s="12">
        <v>0</v>
      </c>
      <c r="V19" s="12">
        <v>0</v>
      </c>
    </row>
    <row r="20" ht="32.05" customHeight="1">
      <c r="A20" t="s" s="9">
        <v>73</v>
      </c>
      <c r="B20" t="s" s="10">
        <v>45</v>
      </c>
      <c r="C20" t="s" s="11">
        <v>36</v>
      </c>
      <c r="D20" t="s" s="11">
        <v>33</v>
      </c>
      <c r="E20" t="s" s="11">
        <v>64</v>
      </c>
      <c r="F20" t="s" s="11">
        <v>38</v>
      </c>
      <c r="G20" s="13">
        <v>1150</v>
      </c>
      <c r="H20" t="s" s="11">
        <v>21</v>
      </c>
      <c r="I20" t="s" s="11">
        <v>21</v>
      </c>
      <c r="J20" t="s" s="11">
        <v>21</v>
      </c>
      <c r="K20" s="12">
        <v>5</v>
      </c>
      <c r="L20" s="12">
        <v>17</v>
      </c>
      <c r="M20" s="12">
        <v>22</v>
      </c>
      <c r="N20" s="12">
        <v>19</v>
      </c>
      <c r="O20" s="12">
        <v>19</v>
      </c>
      <c r="P20" t="s" s="11">
        <v>24</v>
      </c>
      <c r="Q20" s="12">
        <v>0</v>
      </c>
      <c r="R20" s="12">
        <v>10</v>
      </c>
      <c r="S20" s="12">
        <v>5.5</v>
      </c>
      <c r="T20" s="12">
        <v>3.5</v>
      </c>
      <c r="U20" s="12">
        <v>0</v>
      </c>
      <c r="V20" s="12">
        <v>0</v>
      </c>
    </row>
    <row r="21" ht="32.05" customHeight="1">
      <c r="A21" t="s" s="9">
        <v>74</v>
      </c>
      <c r="B21" t="s" s="10">
        <v>24</v>
      </c>
      <c r="C21" t="s" s="11">
        <v>46</v>
      </c>
      <c r="D21" t="s" s="11">
        <v>26</v>
      </c>
      <c r="E21" t="s" s="11">
        <v>37</v>
      </c>
      <c r="F21" t="s" s="11">
        <v>38</v>
      </c>
      <c r="G21" s="12">
        <v>1063</v>
      </c>
      <c r="H21" t="s" s="11">
        <v>21</v>
      </c>
      <c r="I21" t="s" s="11">
        <v>21</v>
      </c>
      <c r="J21" t="s" s="11">
        <v>21</v>
      </c>
      <c r="K21" s="13">
        <v>5</v>
      </c>
      <c r="L21" s="12">
        <v>10</v>
      </c>
      <c r="M21" s="12">
        <v>15</v>
      </c>
      <c r="N21" s="12">
        <v>20</v>
      </c>
      <c r="O21" s="14"/>
      <c r="P21" t="s" s="11">
        <v>62</v>
      </c>
      <c r="Q21" s="14"/>
      <c r="R21" s="14"/>
      <c r="S21" s="14"/>
      <c r="T21" s="14"/>
      <c r="U21" s="14"/>
      <c r="V21" s="14"/>
    </row>
    <row r="22" ht="32.05" customHeight="1">
      <c r="A22" t="s" s="9">
        <v>75</v>
      </c>
      <c r="B22" t="s" s="10">
        <v>24</v>
      </c>
      <c r="C22" t="s" s="11">
        <v>46</v>
      </c>
      <c r="D22" t="s" s="11">
        <v>26</v>
      </c>
      <c r="E22" t="s" s="11">
        <v>21</v>
      </c>
      <c r="F22" t="s" s="11">
        <v>21</v>
      </c>
      <c r="G22" t="s" s="11">
        <v>21</v>
      </c>
      <c r="H22" t="s" s="11">
        <v>39</v>
      </c>
      <c r="I22" t="s" s="11">
        <v>21</v>
      </c>
      <c r="J22" t="s" s="11">
        <v>21</v>
      </c>
      <c r="K22" s="12">
        <v>5</v>
      </c>
      <c r="L22" s="12">
        <v>5</v>
      </c>
      <c r="M22" s="12">
        <v>10</v>
      </c>
      <c r="N22" s="12">
        <v>20</v>
      </c>
      <c r="O22" t="s" s="11">
        <v>76</v>
      </c>
      <c r="P22" t="s" s="11">
        <v>49</v>
      </c>
      <c r="Q22" t="s" s="11">
        <v>52</v>
      </c>
      <c r="R22" t="s" s="11">
        <v>52</v>
      </c>
      <c r="S22" s="12">
        <v>10</v>
      </c>
      <c r="T22" t="s" s="11">
        <v>52</v>
      </c>
      <c r="U22" s="12">
        <v>5</v>
      </c>
      <c r="V22" s="12">
        <v>0</v>
      </c>
    </row>
    <row r="23" ht="32.05" customHeight="1">
      <c r="A23" t="s" s="9">
        <v>77</v>
      </c>
      <c r="B23" t="s" s="10">
        <v>45</v>
      </c>
      <c r="C23" t="s" s="11">
        <v>36</v>
      </c>
      <c r="D23" t="s" s="11">
        <v>33</v>
      </c>
      <c r="E23" t="s" s="11">
        <v>64</v>
      </c>
      <c r="F23" t="s" s="11">
        <v>38</v>
      </c>
      <c r="G23" s="12">
        <v>1186</v>
      </c>
      <c r="H23" t="s" s="11">
        <v>21</v>
      </c>
      <c r="I23" t="s" s="11">
        <v>21</v>
      </c>
      <c r="J23" t="s" s="11">
        <v>21</v>
      </c>
      <c r="K23" s="12">
        <v>2</v>
      </c>
      <c r="L23" s="12">
        <v>12</v>
      </c>
      <c r="M23" s="12">
        <v>14</v>
      </c>
      <c r="N23" s="12">
        <v>23</v>
      </c>
      <c r="O23" s="12">
        <v>23</v>
      </c>
      <c r="P23" t="s" s="11">
        <v>24</v>
      </c>
      <c r="Q23" s="12">
        <v>3</v>
      </c>
      <c r="R23" s="12">
        <v>13</v>
      </c>
      <c r="S23" s="12">
        <v>4</v>
      </c>
      <c r="T23" s="12">
        <v>3</v>
      </c>
      <c r="U23" s="12">
        <v>0</v>
      </c>
      <c r="V23" s="12">
        <v>0</v>
      </c>
    </row>
    <row r="24" ht="32.05" customHeight="1">
      <c r="A24" t="s" s="9">
        <v>78</v>
      </c>
      <c r="B24" t="s" s="10">
        <v>45</v>
      </c>
      <c r="C24" t="s" s="11">
        <v>36</v>
      </c>
      <c r="D24" t="s" s="11">
        <v>33</v>
      </c>
      <c r="E24" t="s" s="11">
        <v>38</v>
      </c>
      <c r="F24" t="s" s="11">
        <v>38</v>
      </c>
      <c r="G24" s="13">
        <v>1160</v>
      </c>
      <c r="H24" t="s" s="11">
        <v>21</v>
      </c>
      <c r="I24" t="s" s="11">
        <v>31</v>
      </c>
      <c r="J24" t="s" s="11">
        <v>21</v>
      </c>
      <c r="K24" s="12">
        <v>5</v>
      </c>
      <c r="L24" s="12">
        <v>20</v>
      </c>
      <c r="M24" s="12">
        <v>25</v>
      </c>
      <c r="N24" s="12">
        <v>23</v>
      </c>
      <c r="O24" s="12">
        <v>24</v>
      </c>
      <c r="P24" t="s" s="11">
        <v>24</v>
      </c>
      <c r="Q24" s="12">
        <v>4</v>
      </c>
      <c r="R24" s="12">
        <v>15</v>
      </c>
      <c r="S24" s="12">
        <v>3</v>
      </c>
      <c r="T24" s="12">
        <v>2</v>
      </c>
      <c r="U24" s="12">
        <v>0</v>
      </c>
      <c r="V24" s="12">
        <v>0</v>
      </c>
    </row>
    <row r="25" ht="20.05" customHeight="1">
      <c r="A25" t="s" s="9">
        <v>79</v>
      </c>
      <c r="B25" t="s" s="10">
        <v>45</v>
      </c>
      <c r="C25" t="s" s="11">
        <v>36</v>
      </c>
      <c r="D25" t="s" s="11">
        <v>33</v>
      </c>
      <c r="E25" t="s" s="11">
        <v>21</v>
      </c>
      <c r="F25" t="s" s="11">
        <v>21</v>
      </c>
      <c r="G25" t="s" s="11">
        <v>21</v>
      </c>
      <c r="H25" t="s" s="11">
        <v>21</v>
      </c>
      <c r="I25" t="s" s="11">
        <v>21</v>
      </c>
      <c r="J25" t="s" s="11">
        <v>21</v>
      </c>
      <c r="K25" s="12">
        <v>5</v>
      </c>
      <c r="L25" s="12">
        <v>20</v>
      </c>
      <c r="M25" s="12">
        <v>25</v>
      </c>
      <c r="N25" s="12">
        <v>25</v>
      </c>
      <c r="O25" s="12">
        <f>Q25+R25+S25+T25</f>
        <v>24</v>
      </c>
      <c r="P25" t="s" s="11">
        <v>80</v>
      </c>
      <c r="Q25" s="12">
        <v>2</v>
      </c>
      <c r="R25" s="12">
        <v>11</v>
      </c>
      <c r="S25" s="12">
        <v>5</v>
      </c>
      <c r="T25" s="12">
        <v>6</v>
      </c>
      <c r="U25" s="12">
        <v>0</v>
      </c>
      <c r="V25" s="12">
        <v>0</v>
      </c>
    </row>
    <row r="26" ht="20.05" customHeight="1">
      <c r="A26" t="s" s="9">
        <v>81</v>
      </c>
      <c r="B26" t="s" s="10">
        <v>24</v>
      </c>
      <c r="C26" t="s" s="11">
        <v>46</v>
      </c>
      <c r="D26" t="s" s="11">
        <v>26</v>
      </c>
      <c r="E26" t="s" s="11">
        <v>21</v>
      </c>
      <c r="F26" t="s" s="11">
        <v>21</v>
      </c>
      <c r="G26" s="12">
        <v>1027</v>
      </c>
      <c r="H26" t="s" s="11">
        <v>29</v>
      </c>
      <c r="I26" t="s" s="11">
        <v>21</v>
      </c>
      <c r="J26" t="s" s="11">
        <v>21</v>
      </c>
      <c r="K26" s="13">
        <v>5</v>
      </c>
      <c r="L26" s="13">
        <v>10</v>
      </c>
      <c r="M26" s="12">
        <v>15</v>
      </c>
      <c r="N26" s="12">
        <v>25</v>
      </c>
      <c r="O26" s="14"/>
      <c r="P26" t="s" s="11">
        <v>62</v>
      </c>
      <c r="Q26" s="12">
        <v>0</v>
      </c>
      <c r="R26" t="s" s="11">
        <v>52</v>
      </c>
      <c r="S26" t="s" s="11">
        <v>52</v>
      </c>
      <c r="T26" s="12">
        <v>10</v>
      </c>
      <c r="U26" s="12">
        <v>5</v>
      </c>
      <c r="V26" s="14"/>
    </row>
    <row r="27" ht="32.05" customHeight="1">
      <c r="A27" t="s" s="9">
        <v>82</v>
      </c>
      <c r="B27" t="s" s="10">
        <v>45</v>
      </c>
      <c r="C27" t="s" s="11">
        <v>21</v>
      </c>
      <c r="D27" t="s" s="11">
        <v>33</v>
      </c>
      <c r="E27" t="s" s="11">
        <v>21</v>
      </c>
      <c r="F27" t="s" s="11">
        <v>21</v>
      </c>
      <c r="G27" t="s" s="11">
        <v>21</v>
      </c>
      <c r="H27" t="s" s="11">
        <v>21</v>
      </c>
      <c r="I27" t="s" s="11">
        <v>40</v>
      </c>
      <c r="J27" t="s" s="11">
        <v>40</v>
      </c>
      <c r="K27" s="12">
        <v>5</v>
      </c>
      <c r="L27" s="12">
        <v>25</v>
      </c>
      <c r="M27" s="12">
        <v>30</v>
      </c>
      <c r="N27" s="12">
        <v>26</v>
      </c>
      <c r="O27" s="14"/>
      <c r="P27" t="s" s="11">
        <v>49</v>
      </c>
      <c r="Q27" s="12">
        <v>5</v>
      </c>
      <c r="R27" s="12">
        <v>16</v>
      </c>
      <c r="S27" s="12">
        <v>0</v>
      </c>
      <c r="T27" s="12">
        <v>5</v>
      </c>
      <c r="U27" s="12">
        <v>0</v>
      </c>
      <c r="V27" s="12">
        <v>0</v>
      </c>
    </row>
    <row r="28" ht="32.05" customHeight="1">
      <c r="A28" t="s" s="9">
        <v>83</v>
      </c>
      <c r="B28" t="s" s="10">
        <v>24</v>
      </c>
      <c r="C28" t="s" s="11">
        <v>46</v>
      </c>
      <c r="D28" t="s" s="11">
        <v>26</v>
      </c>
      <c r="E28" t="s" s="11">
        <v>21</v>
      </c>
      <c r="F28" t="s" s="11">
        <v>21</v>
      </c>
      <c r="G28" s="12">
        <v>1050</v>
      </c>
      <c r="H28" t="s" s="11">
        <v>29</v>
      </c>
      <c r="I28" t="s" s="11">
        <v>31</v>
      </c>
      <c r="J28" t="s" s="11">
        <v>21</v>
      </c>
      <c r="K28" s="12">
        <v>5</v>
      </c>
      <c r="L28" s="12">
        <v>20</v>
      </c>
      <c r="M28" s="12">
        <v>25</v>
      </c>
      <c r="N28" s="12">
        <v>27</v>
      </c>
      <c r="O28" t="s" s="11">
        <v>84</v>
      </c>
      <c r="P28" t="s" s="11">
        <v>49</v>
      </c>
      <c r="Q28" t="s" s="11">
        <v>85</v>
      </c>
      <c r="R28" s="12">
        <v>14</v>
      </c>
      <c r="S28" t="s" s="11">
        <v>86</v>
      </c>
      <c r="T28" s="12">
        <v>0</v>
      </c>
      <c r="U28" s="12">
        <v>0</v>
      </c>
      <c r="V28" s="12">
        <v>0</v>
      </c>
    </row>
    <row r="29" ht="32.05" customHeight="1">
      <c r="A29" t="s" s="9">
        <v>87</v>
      </c>
      <c r="B29" t="s" s="10">
        <v>45</v>
      </c>
      <c r="C29" t="s" s="11">
        <v>36</v>
      </c>
      <c r="D29" t="s" s="11">
        <v>26</v>
      </c>
      <c r="E29" t="s" s="11">
        <v>37</v>
      </c>
      <c r="F29" t="s" s="11">
        <v>38</v>
      </c>
      <c r="G29" s="12">
        <v>1115</v>
      </c>
      <c r="H29" t="s" s="11">
        <v>29</v>
      </c>
      <c r="I29" t="s" s="11">
        <v>40</v>
      </c>
      <c r="J29" t="s" s="11">
        <v>40</v>
      </c>
      <c r="K29" s="12">
        <v>5</v>
      </c>
      <c r="L29" s="12">
        <v>10</v>
      </c>
      <c r="M29" s="12">
        <v>15</v>
      </c>
      <c r="N29" s="12">
        <v>28</v>
      </c>
      <c r="O29" t="s" s="11">
        <v>88</v>
      </c>
      <c r="P29" t="s" s="11">
        <v>24</v>
      </c>
      <c r="Q29" s="12">
        <v>2</v>
      </c>
      <c r="R29" s="12">
        <v>8</v>
      </c>
      <c r="S29" s="12">
        <v>7</v>
      </c>
      <c r="T29" t="s" s="11">
        <v>89</v>
      </c>
      <c r="U29" s="12">
        <v>0</v>
      </c>
      <c r="V29" s="12">
        <v>0</v>
      </c>
    </row>
    <row r="30" ht="56.05" customHeight="1">
      <c r="A30" t="s" s="9">
        <v>90</v>
      </c>
      <c r="B30" t="s" s="10">
        <v>24</v>
      </c>
      <c r="C30" t="s" s="11">
        <v>46</v>
      </c>
      <c r="D30" t="s" s="11">
        <v>26</v>
      </c>
      <c r="E30" t="s" s="11">
        <v>91</v>
      </c>
      <c r="F30" t="s" s="11">
        <v>57</v>
      </c>
      <c r="G30" s="12">
        <v>1064</v>
      </c>
      <c r="H30" t="s" s="11">
        <v>29</v>
      </c>
      <c r="I30" t="s" s="11">
        <v>40</v>
      </c>
      <c r="J30" t="s" s="11">
        <v>40</v>
      </c>
      <c r="K30" s="12">
        <v>2</v>
      </c>
      <c r="L30" s="12">
        <v>6</v>
      </c>
      <c r="M30" s="12">
        <v>8</v>
      </c>
      <c r="N30" s="12">
        <v>30.333</v>
      </c>
      <c r="O30" t="s" s="11">
        <v>92</v>
      </c>
      <c r="P30" t="s" s="11">
        <v>93</v>
      </c>
      <c r="Q30" s="12">
        <v>0</v>
      </c>
      <c r="R30" s="13">
        <v>2.5</v>
      </c>
      <c r="S30" s="13">
        <v>2.5</v>
      </c>
      <c r="T30" s="13">
        <v>25</v>
      </c>
      <c r="U30" s="12">
        <v>0</v>
      </c>
      <c r="V30" s="12">
        <v>0</v>
      </c>
    </row>
    <row r="31" ht="32.05" customHeight="1">
      <c r="A31" t="s" s="9">
        <v>94</v>
      </c>
      <c r="B31" t="s" s="10">
        <v>24</v>
      </c>
      <c r="C31" t="s" s="11">
        <v>46</v>
      </c>
      <c r="D31" t="s" s="11">
        <v>26</v>
      </c>
      <c r="E31" t="s" s="11">
        <v>37</v>
      </c>
      <c r="F31" t="s" s="11">
        <v>38</v>
      </c>
      <c r="G31" s="12">
        <v>1033</v>
      </c>
      <c r="H31" t="s" s="11">
        <v>29</v>
      </c>
      <c r="I31" t="s" s="11">
        <v>21</v>
      </c>
      <c r="J31" t="s" s="11">
        <v>21</v>
      </c>
      <c r="K31" s="12">
        <v>3</v>
      </c>
      <c r="L31" s="12">
        <v>15</v>
      </c>
      <c r="M31" s="12">
        <v>18</v>
      </c>
      <c r="N31" s="12">
        <v>32</v>
      </c>
      <c r="O31" t="s" s="11">
        <v>61</v>
      </c>
      <c r="P31" t="s" s="11">
        <v>49</v>
      </c>
      <c r="Q31" s="14"/>
      <c r="R31" s="14"/>
      <c r="S31" s="14"/>
      <c r="T31" s="14"/>
      <c r="U31" s="14"/>
      <c r="V31" s="14"/>
    </row>
    <row r="32" ht="32.05" customHeight="1">
      <c r="A32" t="s" s="9">
        <v>95</v>
      </c>
      <c r="B32" t="s" s="10">
        <v>45</v>
      </c>
      <c r="C32" t="s" s="11">
        <v>36</v>
      </c>
      <c r="D32" t="s" s="11">
        <v>33</v>
      </c>
      <c r="E32" t="s" s="11">
        <v>64</v>
      </c>
      <c r="F32" t="s" s="11">
        <v>38</v>
      </c>
      <c r="G32" s="12">
        <v>1186</v>
      </c>
      <c r="H32" t="s" s="11">
        <v>21</v>
      </c>
      <c r="I32" t="s" s="11">
        <v>21</v>
      </c>
      <c r="J32" t="s" s="11">
        <v>21</v>
      </c>
      <c r="K32" s="12">
        <v>0</v>
      </c>
      <c r="L32" s="12">
        <v>15</v>
      </c>
      <c r="M32" s="12">
        <v>15</v>
      </c>
      <c r="N32" s="12">
        <v>33</v>
      </c>
      <c r="O32" s="12">
        <v>31.5</v>
      </c>
      <c r="P32" t="s" s="11">
        <v>24</v>
      </c>
      <c r="Q32" s="12">
        <v>3</v>
      </c>
      <c r="R32" s="12">
        <v>16</v>
      </c>
      <c r="S32" s="12">
        <v>5.5</v>
      </c>
      <c r="T32" s="12">
        <v>5</v>
      </c>
      <c r="U32" s="12">
        <v>0</v>
      </c>
      <c r="V32" s="12">
        <v>0</v>
      </c>
    </row>
    <row r="33" ht="32.05" customHeight="1">
      <c r="A33" t="s" s="9">
        <v>96</v>
      </c>
      <c r="B33" t="s" s="10">
        <v>24</v>
      </c>
      <c r="C33" t="s" s="11">
        <v>46</v>
      </c>
      <c r="D33" t="s" s="11">
        <v>26</v>
      </c>
      <c r="E33" t="s" s="11">
        <v>21</v>
      </c>
      <c r="F33" t="s" s="11">
        <v>21</v>
      </c>
      <c r="G33" t="s" s="11">
        <v>21</v>
      </c>
      <c r="H33" t="s" s="11">
        <v>21</v>
      </c>
      <c r="I33" t="s" s="11">
        <v>21</v>
      </c>
      <c r="J33" t="s" s="11">
        <v>21</v>
      </c>
      <c r="K33" s="12">
        <v>6</v>
      </c>
      <c r="L33" s="12">
        <v>10</v>
      </c>
      <c r="M33" s="12">
        <v>16</v>
      </c>
      <c r="N33" s="12">
        <v>40</v>
      </c>
      <c r="O33" t="s" s="11">
        <v>97</v>
      </c>
      <c r="P33" t="s" s="11">
        <v>62</v>
      </c>
      <c r="Q33" t="s" s="11">
        <v>52</v>
      </c>
      <c r="R33" s="12">
        <v>17</v>
      </c>
      <c r="S33" s="12">
        <v>0</v>
      </c>
      <c r="T33" t="s" s="11">
        <v>52</v>
      </c>
      <c r="U33" s="12">
        <v>20</v>
      </c>
      <c r="V33" s="12">
        <v>0</v>
      </c>
    </row>
    <row r="34" ht="32.05" customHeight="1">
      <c r="A34" t="s" s="9">
        <v>98</v>
      </c>
      <c r="B34" t="s" s="10">
        <v>24</v>
      </c>
      <c r="C34" t="s" s="11">
        <v>46</v>
      </c>
      <c r="D34" t="s" s="11">
        <v>26</v>
      </c>
      <c r="E34" t="s" s="11">
        <v>56</v>
      </c>
      <c r="F34" t="s" s="11">
        <v>57</v>
      </c>
      <c r="G34" s="12">
        <v>1023</v>
      </c>
      <c r="H34" t="s" s="11">
        <v>29</v>
      </c>
      <c r="I34" t="s" s="11">
        <v>31</v>
      </c>
      <c r="J34" t="s" s="11">
        <v>31</v>
      </c>
      <c r="K34" s="12">
        <v>5</v>
      </c>
      <c r="L34" s="13">
        <v>20</v>
      </c>
      <c r="M34" s="13">
        <v>25</v>
      </c>
      <c r="N34" s="12">
        <v>40.333</v>
      </c>
      <c r="O34" t="s" s="11">
        <v>99</v>
      </c>
      <c r="P34" t="s" s="11">
        <v>49</v>
      </c>
      <c r="Q34" t="s" s="11">
        <v>100</v>
      </c>
      <c r="R34" t="s" s="11">
        <v>101</v>
      </c>
      <c r="S34" t="s" s="11">
        <v>52</v>
      </c>
      <c r="T34" t="s" s="11">
        <v>102</v>
      </c>
      <c r="U34" s="12">
        <v>1</v>
      </c>
      <c r="V34" s="12">
        <v>0</v>
      </c>
    </row>
    <row r="35" ht="32.05" customHeight="1">
      <c r="A35" t="s" s="9">
        <v>103</v>
      </c>
      <c r="B35" t="s" s="10">
        <v>24</v>
      </c>
      <c r="C35" t="s" s="11">
        <v>21</v>
      </c>
      <c r="D35" t="s" s="11">
        <v>26</v>
      </c>
      <c r="E35" t="s" s="11">
        <v>56</v>
      </c>
      <c r="F35" t="s" s="11">
        <v>57</v>
      </c>
      <c r="G35" t="s" s="11">
        <v>21</v>
      </c>
      <c r="H35" t="s" s="11">
        <v>21</v>
      </c>
      <c r="I35" t="s" s="11">
        <v>21</v>
      </c>
      <c r="J35" t="s" s="11">
        <v>21</v>
      </c>
      <c r="K35" s="13">
        <v>23</v>
      </c>
      <c r="L35" s="12">
        <v>50</v>
      </c>
      <c r="M35" s="13">
        <v>73</v>
      </c>
      <c r="N35" s="12">
        <v>40.5</v>
      </c>
      <c r="O35" t="s" s="11">
        <v>104</v>
      </c>
      <c r="P35" t="s" s="11">
        <v>105</v>
      </c>
      <c r="Q35" t="s" s="11">
        <v>54</v>
      </c>
      <c r="R35" t="s" s="11">
        <v>106</v>
      </c>
      <c r="S35" t="s" s="11">
        <v>107</v>
      </c>
      <c r="T35" t="s" s="11">
        <v>52</v>
      </c>
      <c r="U35" s="12">
        <v>2</v>
      </c>
      <c r="V35" t="s" s="11">
        <v>52</v>
      </c>
    </row>
    <row r="36" ht="32.05" customHeight="1">
      <c r="A36" t="s" s="9">
        <v>108</v>
      </c>
      <c r="B36" t="s" s="10">
        <v>45</v>
      </c>
      <c r="C36" t="s" s="11">
        <v>36</v>
      </c>
      <c r="D36" t="s" s="11">
        <v>33</v>
      </c>
      <c r="E36" t="s" s="11">
        <v>64</v>
      </c>
      <c r="F36" t="s" s="11">
        <v>38</v>
      </c>
      <c r="G36" s="12">
        <v>1186</v>
      </c>
      <c r="H36" t="s" s="11">
        <v>21</v>
      </c>
      <c r="I36" t="s" s="11">
        <v>21</v>
      </c>
      <c r="J36" t="s" s="11">
        <v>21</v>
      </c>
      <c r="K36" s="12">
        <v>5</v>
      </c>
      <c r="L36" s="12">
        <v>20</v>
      </c>
      <c r="M36" s="12">
        <v>25</v>
      </c>
      <c r="N36" s="12">
        <v>44</v>
      </c>
      <c r="O36" s="16">
        <v>42</v>
      </c>
      <c r="P36" t="s" s="11">
        <v>24</v>
      </c>
      <c r="Q36" s="12">
        <v>1</v>
      </c>
      <c r="R36" s="16">
        <v>18.5</v>
      </c>
      <c r="S36" s="16">
        <v>14.75</v>
      </c>
      <c r="T36" s="16">
        <v>7.75</v>
      </c>
      <c r="U36" s="16">
        <v>0</v>
      </c>
      <c r="V36" s="16">
        <v>0</v>
      </c>
    </row>
    <row r="37" ht="32.05" customHeight="1">
      <c r="A37" t="s" s="9">
        <v>109</v>
      </c>
      <c r="B37" t="s" s="10">
        <v>45</v>
      </c>
      <c r="C37" t="s" s="11">
        <v>36</v>
      </c>
      <c r="D37" t="s" s="11">
        <v>26</v>
      </c>
      <c r="E37" t="s" s="11">
        <v>37</v>
      </c>
      <c r="F37" t="s" s="11">
        <v>38</v>
      </c>
      <c r="G37" s="12">
        <v>1128</v>
      </c>
      <c r="H37" t="s" s="11">
        <v>29</v>
      </c>
      <c r="I37" t="s" s="11">
        <v>40</v>
      </c>
      <c r="J37" t="s" s="11">
        <v>40</v>
      </c>
      <c r="K37" s="12">
        <v>5</v>
      </c>
      <c r="L37" s="12">
        <v>25</v>
      </c>
      <c r="M37" s="12">
        <v>30</v>
      </c>
      <c r="N37" s="12">
        <v>46</v>
      </c>
      <c r="O37" s="12">
        <v>46</v>
      </c>
      <c r="P37" t="s" s="11">
        <v>24</v>
      </c>
      <c r="Q37" s="12">
        <v>2</v>
      </c>
      <c r="R37" s="12">
        <v>20</v>
      </c>
      <c r="S37" s="12">
        <v>16</v>
      </c>
      <c r="T37" s="12">
        <v>8</v>
      </c>
      <c r="U37" s="12">
        <v>0</v>
      </c>
      <c r="V37" s="12">
        <v>0</v>
      </c>
    </row>
    <row r="38" ht="20.05" customHeight="1">
      <c r="A38" t="s" s="9">
        <v>110</v>
      </c>
      <c r="B38" t="s" s="10">
        <v>24</v>
      </c>
      <c r="C38" t="s" s="11">
        <v>46</v>
      </c>
      <c r="D38" t="s" s="11">
        <v>26</v>
      </c>
      <c r="E38" t="s" s="11">
        <v>111</v>
      </c>
      <c r="F38" t="s" s="11">
        <v>57</v>
      </c>
      <c r="G38" s="13">
        <v>1054</v>
      </c>
      <c r="H38" t="s" s="11">
        <v>39</v>
      </c>
      <c r="I38" t="s" s="11">
        <v>21</v>
      </c>
      <c r="J38" t="s" s="11">
        <v>40</v>
      </c>
      <c r="K38" s="12">
        <v>5</v>
      </c>
      <c r="L38" s="12">
        <v>15</v>
      </c>
      <c r="M38" s="12">
        <v>20</v>
      </c>
      <c r="N38" s="13">
        <v>49.4</v>
      </c>
      <c r="O38" t="s" s="11">
        <v>112</v>
      </c>
      <c r="P38" t="s" s="11">
        <v>62</v>
      </c>
      <c r="Q38" s="12">
        <f>15+4+1</f>
        <v>20</v>
      </c>
      <c r="R38" t="s" s="11">
        <v>113</v>
      </c>
      <c r="S38" t="s" s="11">
        <v>114</v>
      </c>
      <c r="T38" t="s" s="11">
        <v>115</v>
      </c>
      <c r="U38" s="12">
        <v>0</v>
      </c>
      <c r="V38" t="s" s="11">
        <v>52</v>
      </c>
    </row>
    <row r="39" ht="32.05" customHeight="1">
      <c r="A39" t="s" s="9">
        <v>116</v>
      </c>
      <c r="B39" t="s" s="10">
        <v>45</v>
      </c>
      <c r="C39" t="s" s="11">
        <v>46</v>
      </c>
      <c r="D39" t="s" s="11">
        <v>26</v>
      </c>
      <c r="E39" t="s" s="11">
        <v>37</v>
      </c>
      <c r="F39" t="s" s="11">
        <v>38</v>
      </c>
      <c r="G39" s="12">
        <v>1029</v>
      </c>
      <c r="H39" t="s" s="11">
        <v>29</v>
      </c>
      <c r="I39" t="s" s="11">
        <v>21</v>
      </c>
      <c r="J39" t="s" s="11">
        <v>21</v>
      </c>
      <c r="K39" s="12">
        <v>5</v>
      </c>
      <c r="L39" s="12">
        <v>10</v>
      </c>
      <c r="M39" s="12">
        <v>15</v>
      </c>
      <c r="N39" s="12">
        <v>50</v>
      </c>
      <c r="O39" s="12">
        <v>50</v>
      </c>
      <c r="P39" t="s" s="11">
        <v>24</v>
      </c>
      <c r="Q39" s="12">
        <v>0</v>
      </c>
      <c r="R39" s="12">
        <v>20</v>
      </c>
      <c r="S39" s="12">
        <v>20</v>
      </c>
      <c r="T39" s="12">
        <v>10</v>
      </c>
      <c r="U39" s="12">
        <v>0</v>
      </c>
      <c r="V39" s="12">
        <v>0</v>
      </c>
    </row>
    <row r="40" ht="32.05" customHeight="1">
      <c r="A40" t="s" s="9">
        <v>117</v>
      </c>
      <c r="B40" t="s" s="10">
        <v>24</v>
      </c>
      <c r="C40" t="s" s="11">
        <v>46</v>
      </c>
      <c r="D40" t="s" s="11">
        <v>26</v>
      </c>
      <c r="E40" t="s" s="11">
        <v>37</v>
      </c>
      <c r="F40" t="s" s="11">
        <v>38</v>
      </c>
      <c r="G40" s="12">
        <v>1067</v>
      </c>
      <c r="H40" t="s" s="11">
        <v>39</v>
      </c>
      <c r="I40" t="s" s="11">
        <v>21</v>
      </c>
      <c r="J40" t="s" s="11">
        <v>40</v>
      </c>
      <c r="K40" s="12">
        <v>5</v>
      </c>
      <c r="L40" s="12">
        <v>15</v>
      </c>
      <c r="M40" s="12">
        <v>20</v>
      </c>
      <c r="N40" s="13">
        <v>50</v>
      </c>
      <c r="O40" t="s" s="11">
        <v>118</v>
      </c>
      <c r="P40" t="s" s="11">
        <v>62</v>
      </c>
      <c r="Q40" s="12">
        <v>4</v>
      </c>
      <c r="R40" t="s" s="11">
        <v>119</v>
      </c>
      <c r="S40" s="12">
        <v>0</v>
      </c>
      <c r="T40" t="s" s="11">
        <v>52</v>
      </c>
      <c r="U40" s="12">
        <v>23</v>
      </c>
      <c r="V40" t="s" s="11">
        <v>52</v>
      </c>
    </row>
    <row r="41" ht="56.05" customHeight="1">
      <c r="A41" t="s" s="9">
        <v>120</v>
      </c>
      <c r="B41" t="s" s="10">
        <v>24</v>
      </c>
      <c r="C41" t="s" s="11">
        <v>46</v>
      </c>
      <c r="D41" t="s" s="11">
        <v>26</v>
      </c>
      <c r="E41" t="s" s="11">
        <v>37</v>
      </c>
      <c r="F41" t="s" s="11">
        <v>38</v>
      </c>
      <c r="G41" s="12">
        <v>1087</v>
      </c>
      <c r="H41" t="s" s="11">
        <v>29</v>
      </c>
      <c r="I41" t="s" s="11">
        <v>31</v>
      </c>
      <c r="J41" t="s" s="15">
        <v>40</v>
      </c>
      <c r="K41" s="12">
        <v>10</v>
      </c>
      <c r="L41" s="12">
        <v>5</v>
      </c>
      <c r="M41" s="12">
        <v>15</v>
      </c>
      <c r="N41" s="13">
        <v>50</v>
      </c>
      <c r="O41" t="s" s="11">
        <v>121</v>
      </c>
      <c r="P41" t="s" s="11">
        <v>122</v>
      </c>
      <c r="Q41" t="s" s="11">
        <v>52</v>
      </c>
      <c r="R41" s="12">
        <v>20</v>
      </c>
      <c r="S41" t="s" s="11">
        <v>52</v>
      </c>
      <c r="T41" t="s" s="11">
        <v>52</v>
      </c>
      <c r="U41" s="12">
        <v>0</v>
      </c>
      <c r="V41" t="s" s="11">
        <v>52</v>
      </c>
    </row>
    <row r="42" ht="44.05" customHeight="1">
      <c r="A42" t="s" s="9">
        <v>123</v>
      </c>
      <c r="B42" t="s" s="10">
        <v>45</v>
      </c>
      <c r="C42" t="s" s="11">
        <v>36</v>
      </c>
      <c r="D42" t="s" s="11">
        <v>124</v>
      </c>
      <c r="E42" t="s" s="11">
        <v>37</v>
      </c>
      <c r="F42" t="s" s="11">
        <v>38</v>
      </c>
      <c r="G42" s="12">
        <v>1164</v>
      </c>
      <c r="H42" t="s" s="11">
        <v>29</v>
      </c>
      <c r="I42" t="s" s="11">
        <v>40</v>
      </c>
      <c r="J42" t="s" s="11">
        <v>40</v>
      </c>
      <c r="K42" s="12">
        <v>5</v>
      </c>
      <c r="L42" s="12">
        <v>10</v>
      </c>
      <c r="M42" s="12">
        <v>15</v>
      </c>
      <c r="N42" s="13">
        <v>50</v>
      </c>
      <c r="O42" t="s" s="11">
        <v>125</v>
      </c>
      <c r="P42" t="s" s="11">
        <v>62</v>
      </c>
      <c r="Q42" s="12">
        <v>7</v>
      </c>
      <c r="R42" s="12">
        <v>26</v>
      </c>
      <c r="S42" t="s" s="11">
        <v>126</v>
      </c>
      <c r="T42" s="12">
        <v>6</v>
      </c>
      <c r="U42" s="14"/>
      <c r="V42" s="14"/>
    </row>
    <row r="43" ht="32.05" customHeight="1">
      <c r="A43" t="s" s="9">
        <v>127</v>
      </c>
      <c r="B43" t="s" s="10">
        <v>24</v>
      </c>
      <c r="C43" t="s" s="11">
        <v>36</v>
      </c>
      <c r="D43" t="s" s="11">
        <v>26</v>
      </c>
      <c r="E43" t="s" s="11">
        <v>37</v>
      </c>
      <c r="F43" t="s" s="11">
        <v>38</v>
      </c>
      <c r="G43" t="s" s="11">
        <v>21</v>
      </c>
      <c r="H43" t="s" s="11">
        <v>21</v>
      </c>
      <c r="I43" t="s" s="11">
        <v>40</v>
      </c>
      <c r="J43" t="s" s="11">
        <v>21</v>
      </c>
      <c r="K43" s="12">
        <v>5</v>
      </c>
      <c r="L43" s="12">
        <v>25</v>
      </c>
      <c r="M43" s="12">
        <v>30</v>
      </c>
      <c r="N43" s="12">
        <v>55</v>
      </c>
      <c r="O43" t="s" s="11">
        <v>128</v>
      </c>
      <c r="P43" t="s" s="11">
        <v>129</v>
      </c>
      <c r="Q43" t="s" s="11">
        <v>130</v>
      </c>
      <c r="R43" t="s" s="11">
        <v>52</v>
      </c>
      <c r="S43" t="s" s="11">
        <v>131</v>
      </c>
      <c r="T43" t="s" s="11">
        <v>132</v>
      </c>
      <c r="U43" s="12">
        <v>10</v>
      </c>
      <c r="V43" t="s" s="11">
        <v>52</v>
      </c>
    </row>
    <row r="44" ht="56.05" customHeight="1">
      <c r="A44" t="s" s="9">
        <v>133</v>
      </c>
      <c r="B44" t="s" s="10">
        <v>24</v>
      </c>
      <c r="C44" t="s" s="11">
        <v>36</v>
      </c>
      <c r="D44" t="s" s="11">
        <v>26</v>
      </c>
      <c r="E44" t="s" s="11">
        <v>37</v>
      </c>
      <c r="F44" t="s" s="11">
        <v>38</v>
      </c>
      <c r="G44" t="s" s="11">
        <v>21</v>
      </c>
      <c r="H44" t="s" s="11">
        <v>29</v>
      </c>
      <c r="I44" t="s" s="11">
        <v>31</v>
      </c>
      <c r="J44" t="s" s="11">
        <v>21</v>
      </c>
      <c r="K44" s="12">
        <v>5</v>
      </c>
      <c r="L44" s="12">
        <v>25</v>
      </c>
      <c r="M44" s="12">
        <v>30</v>
      </c>
      <c r="N44" s="12">
        <v>55</v>
      </c>
      <c r="O44" t="s" s="11">
        <v>134</v>
      </c>
      <c r="P44" t="s" s="11">
        <v>49</v>
      </c>
      <c r="Q44" t="s" s="11">
        <v>135</v>
      </c>
      <c r="R44" t="s" s="11">
        <v>136</v>
      </c>
      <c r="S44" t="s" s="11">
        <v>137</v>
      </c>
      <c r="T44" s="12">
        <v>5.5</v>
      </c>
      <c r="U44" s="12">
        <v>0</v>
      </c>
      <c r="V44" s="12">
        <v>0</v>
      </c>
    </row>
    <row r="45" ht="32.05" customHeight="1">
      <c r="A45" t="s" s="17">
        <v>138</v>
      </c>
      <c r="B45" t="s" s="10">
        <v>45</v>
      </c>
      <c r="C45" t="s" s="11">
        <v>36</v>
      </c>
      <c r="D45" t="s" s="11">
        <v>33</v>
      </c>
      <c r="E45" t="s" s="11">
        <v>64</v>
      </c>
      <c r="F45" t="s" s="11">
        <v>38</v>
      </c>
      <c r="G45" t="s" s="11">
        <v>21</v>
      </c>
      <c r="H45" t="s" s="11">
        <v>21</v>
      </c>
      <c r="I45" t="s" s="11">
        <v>21</v>
      </c>
      <c r="J45" t="s" s="11">
        <v>21</v>
      </c>
      <c r="K45" s="12">
        <v>10</v>
      </c>
      <c r="L45" s="12">
        <v>25</v>
      </c>
      <c r="M45" s="12">
        <v>35</v>
      </c>
      <c r="N45" s="12">
        <v>55</v>
      </c>
      <c r="O45" s="12">
        <v>55</v>
      </c>
      <c r="P45" t="s" s="11">
        <v>49</v>
      </c>
      <c r="Q45" s="12">
        <v>5.5</v>
      </c>
      <c r="R45" s="12">
        <v>31.5</v>
      </c>
      <c r="S45" s="12">
        <v>9</v>
      </c>
      <c r="T45" s="12">
        <v>9</v>
      </c>
      <c r="U45" s="12">
        <v>0</v>
      </c>
      <c r="V45" s="12">
        <v>0</v>
      </c>
    </row>
    <row r="46" ht="32.05" customHeight="1">
      <c r="A46" t="s" s="18">
        <v>139</v>
      </c>
      <c r="B46" t="s" s="10">
        <v>24</v>
      </c>
      <c r="C46" t="s" s="19">
        <v>140</v>
      </c>
      <c r="D46" t="s" s="19">
        <v>26</v>
      </c>
      <c r="E46" t="s" s="19">
        <v>37</v>
      </c>
      <c r="F46" t="s" s="11">
        <v>38</v>
      </c>
      <c r="G46" s="12">
        <v>1301</v>
      </c>
      <c r="H46" t="s" s="19">
        <v>29</v>
      </c>
      <c r="I46" t="s" s="19">
        <v>40</v>
      </c>
      <c r="J46" t="s" s="19">
        <v>40</v>
      </c>
      <c r="K46" s="20">
        <v>10</v>
      </c>
      <c r="L46" s="20">
        <v>20</v>
      </c>
      <c r="M46" s="20">
        <v>30</v>
      </c>
      <c r="N46" s="20">
        <v>56</v>
      </c>
      <c r="O46" s="20">
        <v>86</v>
      </c>
      <c r="P46" t="s" s="19">
        <v>62</v>
      </c>
      <c r="Q46" t="s" s="19">
        <v>52</v>
      </c>
      <c r="R46" t="s" s="19">
        <v>52</v>
      </c>
      <c r="S46" t="s" s="19">
        <v>52</v>
      </c>
      <c r="T46" t="s" s="19">
        <v>52</v>
      </c>
      <c r="U46" s="20">
        <v>0</v>
      </c>
      <c r="V46" t="s" s="19">
        <v>52</v>
      </c>
    </row>
    <row r="47" ht="32.05" customHeight="1">
      <c r="A47" t="s" s="9">
        <v>141</v>
      </c>
      <c r="B47" t="s" s="10">
        <v>24</v>
      </c>
      <c r="C47" t="s" s="11">
        <v>142</v>
      </c>
      <c r="D47" t="s" s="11">
        <v>143</v>
      </c>
      <c r="E47" t="s" s="11">
        <v>37</v>
      </c>
      <c r="F47" t="s" s="11">
        <v>38</v>
      </c>
      <c r="G47" s="12">
        <v>1301</v>
      </c>
      <c r="H47" t="s" s="11">
        <v>21</v>
      </c>
      <c r="I47" t="s" s="11">
        <v>40</v>
      </c>
      <c r="J47" t="s" s="11">
        <v>40</v>
      </c>
      <c r="K47" s="12">
        <v>10</v>
      </c>
      <c r="L47" s="12">
        <v>20</v>
      </c>
      <c r="M47" s="12">
        <v>30</v>
      </c>
      <c r="N47" s="12">
        <v>59</v>
      </c>
      <c r="O47" t="s" s="11">
        <v>61</v>
      </c>
      <c r="P47" t="s" s="11">
        <v>24</v>
      </c>
      <c r="Q47" s="14"/>
      <c r="R47" s="14"/>
      <c r="S47" s="14"/>
      <c r="T47" s="14"/>
      <c r="U47" s="14"/>
      <c r="V47" s="14"/>
    </row>
    <row r="48" ht="32.05" customHeight="1">
      <c r="A48" t="s" s="9">
        <v>144</v>
      </c>
      <c r="B48" t="s" s="10">
        <v>24</v>
      </c>
      <c r="C48" t="s" s="11">
        <v>36</v>
      </c>
      <c r="D48" t="s" s="11">
        <v>26</v>
      </c>
      <c r="E48" t="s" s="15">
        <v>37</v>
      </c>
      <c r="F48" t="s" s="15">
        <v>38</v>
      </c>
      <c r="G48" s="13">
        <v>1111</v>
      </c>
      <c r="H48" t="s" s="11">
        <v>29</v>
      </c>
      <c r="I48" t="s" s="11">
        <v>31</v>
      </c>
      <c r="J48" t="s" s="11">
        <v>40</v>
      </c>
      <c r="K48" s="12">
        <v>10</v>
      </c>
      <c r="L48" s="12">
        <v>10</v>
      </c>
      <c r="M48" s="12">
        <v>20</v>
      </c>
      <c r="N48" s="13">
        <v>60</v>
      </c>
      <c r="O48" t="s" s="11">
        <v>145</v>
      </c>
      <c r="P48" t="s" s="11">
        <v>62</v>
      </c>
      <c r="Q48" s="12">
        <v>0</v>
      </c>
      <c r="R48" s="12">
        <v>42</v>
      </c>
      <c r="S48" s="12">
        <v>8</v>
      </c>
      <c r="T48" t="s" s="11">
        <v>146</v>
      </c>
      <c r="U48" s="14"/>
      <c r="V48" s="14"/>
    </row>
    <row r="49" ht="44.05" customHeight="1">
      <c r="A49" t="s" s="9">
        <v>147</v>
      </c>
      <c r="B49" t="s" s="10">
        <v>24</v>
      </c>
      <c r="C49" t="s" s="11">
        <v>36</v>
      </c>
      <c r="D49" t="s" s="11">
        <v>26</v>
      </c>
      <c r="E49" t="s" s="11">
        <v>37</v>
      </c>
      <c r="F49" t="s" s="11">
        <v>38</v>
      </c>
      <c r="G49" s="12">
        <v>1164</v>
      </c>
      <c r="H49" t="s" s="11">
        <v>29</v>
      </c>
      <c r="I49" t="s" s="11">
        <v>31</v>
      </c>
      <c r="J49" t="s" s="11">
        <v>21</v>
      </c>
      <c r="K49" s="13">
        <v>10</v>
      </c>
      <c r="L49" s="13">
        <v>30</v>
      </c>
      <c r="M49" s="12">
        <v>40</v>
      </c>
      <c r="N49" s="13">
        <v>60</v>
      </c>
      <c r="O49" t="s" s="11">
        <v>148</v>
      </c>
      <c r="P49" t="s" s="11">
        <v>62</v>
      </c>
      <c r="Q49" t="s" s="11">
        <v>106</v>
      </c>
      <c r="R49" t="s" s="11">
        <v>149</v>
      </c>
      <c r="S49" s="12">
        <v>19</v>
      </c>
      <c r="T49" t="s" s="11">
        <v>150</v>
      </c>
      <c r="U49" s="12">
        <v>0</v>
      </c>
      <c r="V49" s="12">
        <v>0</v>
      </c>
    </row>
    <row r="50" ht="32.05" customHeight="1">
      <c r="A50" t="s" s="9">
        <v>151</v>
      </c>
      <c r="B50" t="s" s="10">
        <v>45</v>
      </c>
      <c r="C50" t="s" s="11">
        <v>36</v>
      </c>
      <c r="D50" t="s" s="11">
        <v>33</v>
      </c>
      <c r="E50" t="s" s="11">
        <v>64</v>
      </c>
      <c r="F50" t="s" s="11">
        <v>38</v>
      </c>
      <c r="G50" s="13">
        <v>1150</v>
      </c>
      <c r="H50" t="s" s="11">
        <v>21</v>
      </c>
      <c r="I50" t="s" s="11">
        <v>21</v>
      </c>
      <c r="J50" t="s" s="11">
        <v>21</v>
      </c>
      <c r="K50" s="12">
        <v>5</v>
      </c>
      <c r="L50" s="12">
        <v>20</v>
      </c>
      <c r="M50" s="12">
        <v>25</v>
      </c>
      <c r="N50" s="12">
        <v>60</v>
      </c>
      <c r="O50" s="12">
        <v>60</v>
      </c>
      <c r="P50" t="s" s="11">
        <v>24</v>
      </c>
      <c r="Q50" s="12">
        <v>6</v>
      </c>
      <c r="R50" s="12">
        <v>25.5</v>
      </c>
      <c r="S50" s="12">
        <v>13</v>
      </c>
      <c r="T50" s="12">
        <v>15.5</v>
      </c>
      <c r="U50" s="12">
        <v>0</v>
      </c>
      <c r="V50" s="12">
        <v>0</v>
      </c>
    </row>
    <row r="51" ht="32.05" customHeight="1">
      <c r="A51" t="s" s="9">
        <v>152</v>
      </c>
      <c r="B51" t="s" s="10">
        <v>45</v>
      </c>
      <c r="C51" t="s" s="11">
        <v>36</v>
      </c>
      <c r="D51" t="s" s="11">
        <v>33</v>
      </c>
      <c r="E51" t="s" s="11">
        <v>64</v>
      </c>
      <c r="F51" t="s" s="11">
        <v>38</v>
      </c>
      <c r="G51" t="s" s="11">
        <v>21</v>
      </c>
      <c r="H51" t="s" s="11">
        <v>21</v>
      </c>
      <c r="I51" t="s" s="11">
        <v>21</v>
      </c>
      <c r="J51" t="s" s="11">
        <v>21</v>
      </c>
      <c r="K51" s="12">
        <v>10</v>
      </c>
      <c r="L51" s="12">
        <v>25</v>
      </c>
      <c r="M51" s="12">
        <v>35</v>
      </c>
      <c r="N51" s="12">
        <v>60</v>
      </c>
      <c r="O51" s="12">
        <v>60</v>
      </c>
      <c r="P51" t="s" s="11">
        <v>24</v>
      </c>
      <c r="Q51" s="12">
        <v>5</v>
      </c>
      <c r="R51" s="12">
        <v>30</v>
      </c>
      <c r="S51" s="12">
        <v>16</v>
      </c>
      <c r="T51" s="12">
        <v>9</v>
      </c>
      <c r="U51" s="12">
        <v>0</v>
      </c>
      <c r="V51" s="12">
        <v>0</v>
      </c>
    </row>
    <row r="52" ht="20.05" customHeight="1">
      <c r="A52" t="s" s="9">
        <v>153</v>
      </c>
      <c r="B52" t="s" s="10">
        <v>24</v>
      </c>
      <c r="C52" t="s" s="11">
        <v>140</v>
      </c>
      <c r="D52" t="s" s="11">
        <v>33</v>
      </c>
      <c r="E52" t="s" s="11">
        <v>21</v>
      </c>
      <c r="F52" t="s" s="11">
        <v>21</v>
      </c>
      <c r="G52" s="12">
        <v>1225</v>
      </c>
      <c r="H52" t="s" s="11">
        <v>29</v>
      </c>
      <c r="I52" t="s" s="11">
        <v>21</v>
      </c>
      <c r="J52" t="s" s="11">
        <v>21</v>
      </c>
      <c r="K52" s="12">
        <v>5</v>
      </c>
      <c r="L52" s="12">
        <v>30</v>
      </c>
      <c r="M52" s="12">
        <v>35</v>
      </c>
      <c r="N52" s="12">
        <v>60</v>
      </c>
      <c r="O52" t="s" s="11">
        <v>154</v>
      </c>
      <c r="P52" t="s" s="11">
        <v>24</v>
      </c>
      <c r="Q52" t="s" s="11">
        <v>155</v>
      </c>
      <c r="R52" t="s" s="11">
        <v>156</v>
      </c>
      <c r="S52" s="14"/>
      <c r="T52" t="s" s="11">
        <v>157</v>
      </c>
      <c r="U52" s="14"/>
      <c r="V52" s="14"/>
    </row>
    <row r="53" ht="44.05" customHeight="1">
      <c r="A53" t="s" s="9">
        <v>158</v>
      </c>
      <c r="B53" t="s" s="10">
        <v>45</v>
      </c>
      <c r="C53" t="s" s="11">
        <v>46</v>
      </c>
      <c r="D53" t="s" s="11">
        <v>26</v>
      </c>
      <c r="E53" t="s" s="11">
        <v>159</v>
      </c>
      <c r="F53" t="s" s="11">
        <v>57</v>
      </c>
      <c r="G53" s="12">
        <v>1028</v>
      </c>
      <c r="H53" t="s" s="11">
        <v>29</v>
      </c>
      <c r="I53" t="s" s="11">
        <v>21</v>
      </c>
      <c r="J53" t="s" s="11">
        <v>21</v>
      </c>
      <c r="K53" s="12">
        <v>5</v>
      </c>
      <c r="L53" s="12">
        <v>35</v>
      </c>
      <c r="M53" s="12">
        <v>40</v>
      </c>
      <c r="N53" s="12">
        <v>61.5</v>
      </c>
      <c r="O53" s="12">
        <f>Q53+T53+S53+R53</f>
        <v>67.5</v>
      </c>
      <c r="P53" t="s" s="11">
        <v>24</v>
      </c>
      <c r="Q53" s="12">
        <v>9</v>
      </c>
      <c r="R53" s="12">
        <f>3+1+6+2+2.5+6+4.5+2</f>
        <v>27</v>
      </c>
      <c r="S53" s="12">
        <v>9.5</v>
      </c>
      <c r="T53" s="12">
        <f>3+6+3+3+5+2</f>
        <v>22</v>
      </c>
      <c r="U53" s="12">
        <v>0</v>
      </c>
      <c r="V53" s="12">
        <v>0</v>
      </c>
    </row>
    <row r="54" ht="32.05" customHeight="1">
      <c r="A54" t="s" s="9">
        <v>160</v>
      </c>
      <c r="B54" t="s" s="10">
        <v>24</v>
      </c>
      <c r="C54" t="s" s="11">
        <v>36</v>
      </c>
      <c r="D54" t="s" s="11">
        <v>33</v>
      </c>
      <c r="E54" t="s" s="11">
        <v>161</v>
      </c>
      <c r="F54" t="s" s="11">
        <v>43</v>
      </c>
      <c r="G54" s="12">
        <v>1134</v>
      </c>
      <c r="H54" t="s" s="11">
        <v>21</v>
      </c>
      <c r="I54" t="s" s="11">
        <v>21</v>
      </c>
      <c r="J54" t="s" s="11">
        <v>21</v>
      </c>
      <c r="K54" s="12">
        <v>6</v>
      </c>
      <c r="L54" s="12">
        <v>20</v>
      </c>
      <c r="M54" s="12">
        <v>26</v>
      </c>
      <c r="N54" s="12">
        <v>64</v>
      </c>
      <c r="O54" s="14"/>
      <c r="P54" t="s" s="11">
        <v>24</v>
      </c>
      <c r="Q54" s="14"/>
      <c r="R54" t="s" s="11">
        <v>162</v>
      </c>
      <c r="S54" s="14"/>
      <c r="T54" t="s" s="11">
        <v>163</v>
      </c>
      <c r="U54" s="14"/>
      <c r="V54" s="14"/>
    </row>
    <row r="55" ht="32.05" customHeight="1">
      <c r="A55" t="s" s="9">
        <v>164</v>
      </c>
      <c r="B55" t="s" s="10">
        <v>45</v>
      </c>
      <c r="C55" t="s" s="11">
        <v>36</v>
      </c>
      <c r="D55" t="s" s="11">
        <v>33</v>
      </c>
      <c r="E55" t="s" s="11">
        <v>64</v>
      </c>
      <c r="F55" t="s" s="11">
        <v>38</v>
      </c>
      <c r="G55" s="12">
        <v>1186</v>
      </c>
      <c r="H55" t="s" s="11">
        <v>21</v>
      </c>
      <c r="I55" t="s" s="11">
        <v>21</v>
      </c>
      <c r="J55" t="s" s="11">
        <v>21</v>
      </c>
      <c r="K55" s="12">
        <v>0</v>
      </c>
      <c r="L55" s="12">
        <v>10</v>
      </c>
      <c r="M55" s="12">
        <v>10</v>
      </c>
      <c r="N55" s="12">
        <v>65</v>
      </c>
      <c r="O55" s="12">
        <v>68</v>
      </c>
      <c r="P55" t="s" s="11">
        <v>24</v>
      </c>
      <c r="Q55" s="12">
        <v>7</v>
      </c>
      <c r="R55" s="12">
        <v>20.75</v>
      </c>
      <c r="S55" s="12">
        <v>7</v>
      </c>
      <c r="T55" s="12">
        <v>13.25</v>
      </c>
      <c r="U55" s="12">
        <v>0</v>
      </c>
      <c r="V55" s="12">
        <v>15</v>
      </c>
    </row>
    <row r="56" ht="32.05" customHeight="1">
      <c r="A56" t="s" s="9">
        <v>165</v>
      </c>
      <c r="B56" t="s" s="10">
        <v>45</v>
      </c>
      <c r="C56" t="s" s="11">
        <v>36</v>
      </c>
      <c r="D56" t="s" s="11">
        <v>33</v>
      </c>
      <c r="E56" t="s" s="11">
        <v>64</v>
      </c>
      <c r="F56" t="s" s="11">
        <v>38</v>
      </c>
      <c r="G56" s="12">
        <v>1186</v>
      </c>
      <c r="H56" t="s" s="11">
        <v>21</v>
      </c>
      <c r="I56" t="s" s="11">
        <v>21</v>
      </c>
      <c r="J56" t="s" s="11">
        <v>21</v>
      </c>
      <c r="K56" s="12">
        <v>0</v>
      </c>
      <c r="L56" s="12">
        <v>10</v>
      </c>
      <c r="M56" s="12">
        <v>10</v>
      </c>
      <c r="N56" s="12">
        <v>65</v>
      </c>
      <c r="O56" s="12">
        <v>67.5</v>
      </c>
      <c r="P56" t="s" s="11">
        <v>24</v>
      </c>
      <c r="Q56" s="12">
        <v>19.5</v>
      </c>
      <c r="R56" s="12">
        <v>31</v>
      </c>
      <c r="S56" s="12">
        <v>4</v>
      </c>
      <c r="T56" s="12">
        <v>13</v>
      </c>
      <c r="U56" s="12">
        <v>0</v>
      </c>
      <c r="V56" s="12">
        <v>0</v>
      </c>
    </row>
    <row r="57" ht="44.05" customHeight="1">
      <c r="A57" t="s" s="9">
        <v>166</v>
      </c>
      <c r="B57" t="s" s="10">
        <v>24</v>
      </c>
      <c r="C57" t="s" s="11">
        <v>25</v>
      </c>
      <c r="D57" t="s" s="11">
        <v>26</v>
      </c>
      <c r="E57" t="s" s="11">
        <v>21</v>
      </c>
      <c r="F57" t="s" s="11">
        <v>21</v>
      </c>
      <c r="G57" s="12">
        <v>980</v>
      </c>
      <c r="H57" t="s" s="11">
        <v>29</v>
      </c>
      <c r="I57" t="s" s="11">
        <v>40</v>
      </c>
      <c r="J57" t="s" s="11">
        <v>21</v>
      </c>
      <c r="K57" s="13">
        <v>8.58</v>
      </c>
      <c r="L57" s="12">
        <v>20</v>
      </c>
      <c r="M57" s="13">
        <v>28.58</v>
      </c>
      <c r="N57" s="13">
        <v>70.59999999999999</v>
      </c>
      <c r="O57" t="s" s="11">
        <v>167</v>
      </c>
      <c r="P57" t="s" s="11">
        <v>168</v>
      </c>
      <c r="Q57" t="s" s="11">
        <v>131</v>
      </c>
      <c r="R57" t="s" s="11">
        <v>52</v>
      </c>
      <c r="S57" t="s" s="11">
        <v>115</v>
      </c>
      <c r="T57" t="s" s="11">
        <v>52</v>
      </c>
      <c r="U57" s="12">
        <v>0</v>
      </c>
      <c r="V57" t="s" s="11">
        <v>52</v>
      </c>
    </row>
    <row r="58" ht="44.65" customHeight="1">
      <c r="A58" t="s" s="9">
        <v>169</v>
      </c>
      <c r="B58" t="s" s="10">
        <v>45</v>
      </c>
      <c r="C58" t="s" s="11">
        <v>36</v>
      </c>
      <c r="D58" t="s" s="11">
        <v>33</v>
      </c>
      <c r="E58" t="s" s="11">
        <v>64</v>
      </c>
      <c r="F58" t="s" s="11">
        <v>38</v>
      </c>
      <c r="G58" s="12">
        <v>1186</v>
      </c>
      <c r="H58" t="s" s="11">
        <v>21</v>
      </c>
      <c r="I58" t="s" s="11">
        <v>21</v>
      </c>
      <c r="J58" t="s" s="11">
        <v>21</v>
      </c>
      <c r="K58" s="12">
        <v>5</v>
      </c>
      <c r="L58" s="12">
        <v>20</v>
      </c>
      <c r="M58" s="12">
        <v>25</v>
      </c>
      <c r="N58" s="13">
        <v>71</v>
      </c>
      <c r="O58" t="s" s="11">
        <v>170</v>
      </c>
      <c r="P58" t="s" s="11">
        <v>171</v>
      </c>
      <c r="Q58" s="12">
        <v>3.5</v>
      </c>
      <c r="R58" s="12">
        <v>27</v>
      </c>
      <c r="S58" s="12">
        <v>5</v>
      </c>
      <c r="T58" s="12">
        <v>6.75</v>
      </c>
      <c r="U58" s="12">
        <v>0</v>
      </c>
      <c r="V58" s="12">
        <v>0</v>
      </c>
    </row>
    <row r="59" ht="44.05" customHeight="1">
      <c r="A59" t="s" s="9">
        <v>172</v>
      </c>
      <c r="B59" t="s" s="10">
        <v>24</v>
      </c>
      <c r="C59" t="s" s="11">
        <v>46</v>
      </c>
      <c r="D59" t="s" s="11">
        <v>26</v>
      </c>
      <c r="E59" t="s" s="11">
        <v>173</v>
      </c>
      <c r="F59" t="s" s="11">
        <v>38</v>
      </c>
      <c r="G59" s="12">
        <v>1045</v>
      </c>
      <c r="H59" t="s" s="11">
        <v>29</v>
      </c>
      <c r="I59" t="s" s="11">
        <v>21</v>
      </c>
      <c r="J59" t="s" s="11">
        <v>21</v>
      </c>
      <c r="K59" s="12">
        <v>5</v>
      </c>
      <c r="L59" s="12">
        <v>20</v>
      </c>
      <c r="M59" s="12">
        <v>25</v>
      </c>
      <c r="N59" s="12">
        <v>75</v>
      </c>
      <c r="O59" s="14"/>
      <c r="P59" t="s" s="11">
        <v>24</v>
      </c>
      <c r="Q59" s="14"/>
      <c r="R59" s="14"/>
      <c r="S59" s="14"/>
      <c r="T59" s="14"/>
      <c r="U59" s="14"/>
      <c r="V59" s="14"/>
    </row>
    <row r="60" ht="44.05" customHeight="1">
      <c r="A60" t="s" s="9">
        <v>174</v>
      </c>
      <c r="B60" t="s" s="10">
        <v>24</v>
      </c>
      <c r="C60" t="s" s="11">
        <v>36</v>
      </c>
      <c r="D60" t="s" s="11">
        <v>26</v>
      </c>
      <c r="E60" t="s" s="11">
        <v>38</v>
      </c>
      <c r="F60" t="s" s="11">
        <v>38</v>
      </c>
      <c r="G60" s="12">
        <v>1143</v>
      </c>
      <c r="H60" t="s" s="11">
        <v>29</v>
      </c>
      <c r="I60" t="s" s="11">
        <v>21</v>
      </c>
      <c r="J60" t="s" s="11">
        <v>31</v>
      </c>
      <c r="K60" s="12">
        <v>5</v>
      </c>
      <c r="L60" s="13">
        <v>10</v>
      </c>
      <c r="M60" s="13">
        <v>15</v>
      </c>
      <c r="N60" s="13">
        <v>75</v>
      </c>
      <c r="O60" s="12">
        <v>42</v>
      </c>
      <c r="P60" t="s" s="11">
        <v>175</v>
      </c>
      <c r="Q60" t="s" s="11">
        <v>52</v>
      </c>
      <c r="R60" t="s" s="11">
        <v>176</v>
      </c>
      <c r="S60" t="s" s="11">
        <v>52</v>
      </c>
      <c r="T60" t="s" s="11">
        <v>177</v>
      </c>
      <c r="U60" s="12">
        <v>8</v>
      </c>
      <c r="V60" t="s" s="11">
        <v>52</v>
      </c>
    </row>
    <row r="61" ht="32.05" customHeight="1">
      <c r="A61" t="s" s="9">
        <v>178</v>
      </c>
      <c r="B61" t="s" s="10">
        <v>24</v>
      </c>
      <c r="C61" t="s" s="11">
        <v>46</v>
      </c>
      <c r="D61" t="s" s="11">
        <v>26</v>
      </c>
      <c r="E61" t="s" s="11">
        <v>37</v>
      </c>
      <c r="F61" t="s" s="11">
        <v>38</v>
      </c>
      <c r="G61" t="s" s="11">
        <v>21</v>
      </c>
      <c r="H61" t="s" s="11">
        <v>29</v>
      </c>
      <c r="I61" t="s" s="11">
        <v>31</v>
      </c>
      <c r="J61" t="s" s="11">
        <v>21</v>
      </c>
      <c r="K61" s="12">
        <v>3</v>
      </c>
      <c r="L61" s="13">
        <v>9.199999999999999</v>
      </c>
      <c r="M61" s="13">
        <v>12.2</v>
      </c>
      <c r="N61" s="12">
        <v>77.5</v>
      </c>
      <c r="O61" t="s" s="11">
        <v>179</v>
      </c>
      <c r="P61" t="s" s="11">
        <v>180</v>
      </c>
      <c r="Q61" t="s" s="11">
        <v>52</v>
      </c>
      <c r="R61" t="s" s="11">
        <v>181</v>
      </c>
      <c r="S61" t="s" s="11">
        <v>102</v>
      </c>
      <c r="T61" t="s" s="11">
        <v>182</v>
      </c>
      <c r="U61" s="12">
        <v>0</v>
      </c>
      <c r="V61" t="s" s="11">
        <v>52</v>
      </c>
    </row>
    <row r="62" ht="32.05" customHeight="1">
      <c r="A62" t="s" s="9">
        <v>183</v>
      </c>
      <c r="B62" t="s" s="10">
        <v>45</v>
      </c>
      <c r="C62" t="s" s="11">
        <v>184</v>
      </c>
      <c r="D62" t="s" s="11">
        <v>33</v>
      </c>
      <c r="E62" t="s" s="11">
        <v>21</v>
      </c>
      <c r="F62" t="s" s="11">
        <v>21</v>
      </c>
      <c r="G62" t="s" s="11">
        <v>21</v>
      </c>
      <c r="H62" t="s" s="11">
        <v>29</v>
      </c>
      <c r="I62" t="s" s="11">
        <v>21</v>
      </c>
      <c r="J62" t="s" s="11">
        <v>40</v>
      </c>
      <c r="K62" s="12">
        <v>10</v>
      </c>
      <c r="L62" s="12">
        <v>20</v>
      </c>
      <c r="M62" s="12">
        <v>30</v>
      </c>
      <c r="N62" s="12">
        <v>79</v>
      </c>
      <c r="O62" s="12">
        <v>79</v>
      </c>
      <c r="P62" t="s" s="11">
        <v>24</v>
      </c>
      <c r="Q62" s="12">
        <v>8</v>
      </c>
      <c r="R62" s="12">
        <v>41</v>
      </c>
      <c r="S62" s="12">
        <v>23</v>
      </c>
      <c r="T62" s="12">
        <v>7</v>
      </c>
      <c r="U62" s="12">
        <v>0</v>
      </c>
      <c r="V62" s="12">
        <v>0</v>
      </c>
    </row>
    <row r="63" ht="20.05" customHeight="1">
      <c r="A63" t="s" s="9">
        <v>185</v>
      </c>
      <c r="B63" t="s" s="10">
        <v>24</v>
      </c>
      <c r="C63" t="s" s="11">
        <v>46</v>
      </c>
      <c r="D63" t="s" s="11">
        <v>26</v>
      </c>
      <c r="E63" t="s" s="11">
        <v>21</v>
      </c>
      <c r="F63" t="s" s="11">
        <v>21</v>
      </c>
      <c r="G63" t="s" s="11">
        <v>21</v>
      </c>
      <c r="H63" t="s" s="11">
        <v>29</v>
      </c>
      <c r="I63" t="s" s="11">
        <v>21</v>
      </c>
      <c r="J63" t="s" s="11">
        <v>21</v>
      </c>
      <c r="K63" s="12">
        <v>10</v>
      </c>
      <c r="L63" s="13">
        <v>15</v>
      </c>
      <c r="M63" s="13">
        <v>25</v>
      </c>
      <c r="N63" s="12">
        <v>81.5</v>
      </c>
      <c r="O63" t="s" s="11">
        <v>186</v>
      </c>
      <c r="P63" t="s" s="11">
        <v>62</v>
      </c>
      <c r="Q63" s="12">
        <v>2</v>
      </c>
      <c r="R63" t="s" s="11">
        <v>101</v>
      </c>
      <c r="S63" t="s" s="11">
        <v>187</v>
      </c>
      <c r="T63" t="s" s="11">
        <v>188</v>
      </c>
      <c r="U63" s="12">
        <v>0</v>
      </c>
      <c r="V63" t="s" s="11">
        <v>52</v>
      </c>
    </row>
    <row r="64" ht="32.05" customHeight="1">
      <c r="A64" t="s" s="9">
        <v>189</v>
      </c>
      <c r="B64" t="s" s="10">
        <v>24</v>
      </c>
      <c r="C64" t="s" s="11">
        <v>36</v>
      </c>
      <c r="D64" t="s" s="11">
        <v>33</v>
      </c>
      <c r="E64" t="s" s="11">
        <v>21</v>
      </c>
      <c r="F64" t="s" s="11">
        <v>21</v>
      </c>
      <c r="G64" t="s" s="11">
        <v>21</v>
      </c>
      <c r="H64" t="s" s="11">
        <v>21</v>
      </c>
      <c r="I64" t="s" s="11">
        <v>21</v>
      </c>
      <c r="J64" t="s" s="11">
        <v>21</v>
      </c>
      <c r="K64" s="12">
        <v>5</v>
      </c>
      <c r="L64" s="12">
        <v>5</v>
      </c>
      <c r="M64" s="12">
        <v>10</v>
      </c>
      <c r="N64" s="13">
        <v>83</v>
      </c>
      <c r="O64" t="s" s="11">
        <v>190</v>
      </c>
      <c r="P64" t="s" s="11">
        <v>62</v>
      </c>
      <c r="Q64" s="12">
        <v>10</v>
      </c>
      <c r="R64" s="12">
        <v>43</v>
      </c>
      <c r="S64" s="12">
        <v>18</v>
      </c>
      <c r="T64" s="12">
        <v>12</v>
      </c>
      <c r="U64" s="12">
        <v>0</v>
      </c>
      <c r="V64" s="12">
        <v>0</v>
      </c>
    </row>
    <row r="65" ht="32.05" customHeight="1">
      <c r="A65" t="s" s="9">
        <v>191</v>
      </c>
      <c r="B65" t="s" s="10">
        <v>24</v>
      </c>
      <c r="C65" t="s" s="11">
        <v>36</v>
      </c>
      <c r="D65" t="s" s="11">
        <v>26</v>
      </c>
      <c r="E65" t="s" s="11">
        <v>37</v>
      </c>
      <c r="F65" t="s" s="11">
        <v>38</v>
      </c>
      <c r="G65" s="12">
        <v>1106</v>
      </c>
      <c r="H65" t="s" s="11">
        <v>29</v>
      </c>
      <c r="I65" t="s" s="11">
        <v>40</v>
      </c>
      <c r="J65" t="s" s="11">
        <v>31</v>
      </c>
      <c r="K65" s="12">
        <v>10</v>
      </c>
      <c r="L65" s="12">
        <v>30</v>
      </c>
      <c r="M65" s="12">
        <v>40</v>
      </c>
      <c r="N65" s="12">
        <v>85</v>
      </c>
      <c r="O65" t="s" s="11">
        <v>186</v>
      </c>
      <c r="P65" t="s" s="11">
        <v>62</v>
      </c>
      <c r="Q65" t="s" s="11">
        <v>107</v>
      </c>
      <c r="R65" t="s" s="11">
        <v>187</v>
      </c>
      <c r="S65" t="s" s="11">
        <v>192</v>
      </c>
      <c r="T65" t="s" s="11">
        <v>52</v>
      </c>
      <c r="U65" s="12">
        <v>0</v>
      </c>
      <c r="V65" s="12">
        <v>0</v>
      </c>
    </row>
    <row r="66" ht="32.05" customHeight="1">
      <c r="A66" t="s" s="9">
        <v>193</v>
      </c>
      <c r="B66" t="s" s="10">
        <v>45</v>
      </c>
      <c r="C66" t="s" s="11">
        <v>36</v>
      </c>
      <c r="D66" t="s" s="11">
        <v>33</v>
      </c>
      <c r="E66" t="s" s="11">
        <v>64</v>
      </c>
      <c r="F66" t="s" s="11">
        <v>38</v>
      </c>
      <c r="G66" s="12">
        <v>1186</v>
      </c>
      <c r="H66" t="s" s="11">
        <v>21</v>
      </c>
      <c r="I66" t="s" s="11">
        <v>21</v>
      </c>
      <c r="J66" t="s" s="11">
        <v>21</v>
      </c>
      <c r="K66" s="12">
        <v>0</v>
      </c>
      <c r="L66" s="12">
        <v>30</v>
      </c>
      <c r="M66" s="12">
        <v>30</v>
      </c>
      <c r="N66" s="12">
        <v>85</v>
      </c>
      <c r="O66" s="12">
        <v>88</v>
      </c>
      <c r="P66" t="s" s="11">
        <v>24</v>
      </c>
      <c r="Q66" s="12">
        <v>16.75</v>
      </c>
      <c r="R66" s="16">
        <v>42</v>
      </c>
      <c r="S66" s="16">
        <v>0</v>
      </c>
      <c r="T66" s="12">
        <v>14.25</v>
      </c>
      <c r="U66" s="12">
        <v>0</v>
      </c>
      <c r="V66" s="12">
        <v>15</v>
      </c>
    </row>
    <row r="67" ht="44.05" customHeight="1">
      <c r="A67" t="s" s="9">
        <v>194</v>
      </c>
      <c r="B67" t="s" s="10">
        <v>24</v>
      </c>
      <c r="C67" t="s" s="11">
        <v>36</v>
      </c>
      <c r="D67" t="s" s="11">
        <v>26</v>
      </c>
      <c r="E67" t="s" s="11">
        <v>38</v>
      </c>
      <c r="F67" t="s" s="11">
        <v>38</v>
      </c>
      <c r="G67" t="s" s="11">
        <v>21</v>
      </c>
      <c r="H67" t="s" s="11">
        <v>29</v>
      </c>
      <c r="I67" t="s" s="11">
        <v>21</v>
      </c>
      <c r="J67" t="s" s="11">
        <v>40</v>
      </c>
      <c r="K67" s="12">
        <v>20</v>
      </c>
      <c r="L67" s="12">
        <v>40</v>
      </c>
      <c r="M67" s="12">
        <v>60</v>
      </c>
      <c r="N67" s="13">
        <v>90</v>
      </c>
      <c r="O67" s="12">
        <v>73</v>
      </c>
      <c r="P67" t="s" s="11">
        <v>62</v>
      </c>
      <c r="Q67" t="s" s="11">
        <v>195</v>
      </c>
      <c r="R67" s="12">
        <v>54</v>
      </c>
      <c r="S67" t="s" s="11">
        <v>196</v>
      </c>
      <c r="T67" t="s" s="11">
        <v>52</v>
      </c>
      <c r="U67" s="12">
        <v>0</v>
      </c>
      <c r="V67" s="14"/>
    </row>
    <row r="68" ht="44.05" customHeight="1">
      <c r="A68" t="s" s="9">
        <v>197</v>
      </c>
      <c r="B68" t="s" s="10">
        <v>45</v>
      </c>
      <c r="C68" t="s" s="11">
        <v>36</v>
      </c>
      <c r="D68" t="s" s="11">
        <v>33</v>
      </c>
      <c r="E68" t="s" s="11">
        <v>21</v>
      </c>
      <c r="F68" t="s" s="11">
        <v>21</v>
      </c>
      <c r="G68" t="s" s="11">
        <v>21</v>
      </c>
      <c r="H68" t="s" s="11">
        <v>21</v>
      </c>
      <c r="I68" t="s" s="11">
        <v>21</v>
      </c>
      <c r="J68" t="s" s="11">
        <v>21</v>
      </c>
      <c r="K68" s="12">
        <v>20</v>
      </c>
      <c r="L68" s="12">
        <v>30</v>
      </c>
      <c r="M68" s="12">
        <v>50</v>
      </c>
      <c r="N68" s="12">
        <v>93</v>
      </c>
      <c r="O68" t="s" s="11">
        <v>198</v>
      </c>
      <c r="P68" t="s" s="11">
        <v>24</v>
      </c>
      <c r="Q68" s="12">
        <v>7</v>
      </c>
      <c r="R68" t="s" s="11">
        <v>199</v>
      </c>
      <c r="S68" s="12">
        <v>18</v>
      </c>
      <c r="T68" t="s" s="11">
        <v>200</v>
      </c>
      <c r="U68" s="12">
        <v>0</v>
      </c>
      <c r="V68" s="12">
        <v>0</v>
      </c>
    </row>
    <row r="69" ht="32.05" customHeight="1">
      <c r="A69" t="s" s="9">
        <v>201</v>
      </c>
      <c r="B69" t="s" s="10">
        <v>24</v>
      </c>
      <c r="C69" t="s" s="11">
        <v>46</v>
      </c>
      <c r="D69" t="s" s="11">
        <v>26</v>
      </c>
      <c r="E69" t="s" s="11">
        <v>37</v>
      </c>
      <c r="F69" t="s" s="11">
        <v>38</v>
      </c>
      <c r="G69" t="s" s="11">
        <v>21</v>
      </c>
      <c r="H69" t="s" s="11">
        <v>29</v>
      </c>
      <c r="I69" t="s" s="11">
        <v>31</v>
      </c>
      <c r="J69" t="s" s="11">
        <v>21</v>
      </c>
      <c r="K69" s="12">
        <v>10</v>
      </c>
      <c r="L69" s="12">
        <v>30</v>
      </c>
      <c r="M69" s="12">
        <v>40</v>
      </c>
      <c r="N69" s="13">
        <v>100</v>
      </c>
      <c r="O69" t="s" s="11">
        <v>202</v>
      </c>
      <c r="P69" t="s" s="11">
        <v>62</v>
      </c>
      <c r="Q69" s="12">
        <f>7+3+2</f>
        <v>12</v>
      </c>
      <c r="R69" t="s" s="11">
        <v>203</v>
      </c>
      <c r="S69" t="s" s="11">
        <v>204</v>
      </c>
      <c r="T69" t="s" s="11">
        <v>52</v>
      </c>
      <c r="U69" s="12">
        <v>0</v>
      </c>
      <c r="V69" t="s" s="11">
        <v>52</v>
      </c>
    </row>
    <row r="70" ht="44.05" customHeight="1">
      <c r="A70" t="s" s="9">
        <v>205</v>
      </c>
      <c r="B70" t="s" s="10">
        <v>24</v>
      </c>
      <c r="C70" t="s" s="11">
        <v>36</v>
      </c>
      <c r="D70" t="s" s="11">
        <v>33</v>
      </c>
      <c r="E70" t="s" s="11">
        <v>37</v>
      </c>
      <c r="F70" t="s" s="11">
        <v>38</v>
      </c>
      <c r="G70" t="s" s="11">
        <v>21</v>
      </c>
      <c r="H70" t="s" s="11">
        <v>21</v>
      </c>
      <c r="I70" t="s" s="11">
        <v>40</v>
      </c>
      <c r="J70" t="s" s="11">
        <v>40</v>
      </c>
      <c r="K70" s="13">
        <v>5</v>
      </c>
      <c r="L70" s="12">
        <v>5</v>
      </c>
      <c r="M70" s="13">
        <v>10</v>
      </c>
      <c r="N70" s="21">
        <v>100</v>
      </c>
      <c r="O70" t="s" s="11">
        <v>206</v>
      </c>
      <c r="P70" t="s" s="11">
        <v>62</v>
      </c>
      <c r="Q70" t="s" s="11">
        <v>52</v>
      </c>
      <c r="R70" s="12">
        <v>53</v>
      </c>
      <c r="S70" t="s" s="11">
        <v>52</v>
      </c>
      <c r="T70" t="s" s="11">
        <v>52</v>
      </c>
      <c r="U70" s="12">
        <v>15</v>
      </c>
      <c r="V70" t="s" s="11">
        <v>52</v>
      </c>
    </row>
    <row r="71" ht="32.05" customHeight="1">
      <c r="A71" t="s" s="9">
        <v>207</v>
      </c>
      <c r="B71" t="s" s="10">
        <v>45</v>
      </c>
      <c r="C71" t="s" s="11">
        <v>36</v>
      </c>
      <c r="D71" t="s" s="11">
        <v>33</v>
      </c>
      <c r="E71" t="s" s="11">
        <v>64</v>
      </c>
      <c r="F71" t="s" s="11">
        <v>38</v>
      </c>
      <c r="G71" s="13">
        <v>1150</v>
      </c>
      <c r="H71" t="s" s="11">
        <v>29</v>
      </c>
      <c r="I71" t="s" s="11">
        <v>21</v>
      </c>
      <c r="J71" t="s" s="11">
        <v>21</v>
      </c>
      <c r="K71" s="12">
        <v>10</v>
      </c>
      <c r="L71" s="12">
        <v>30</v>
      </c>
      <c r="M71" s="12">
        <v>40</v>
      </c>
      <c r="N71" s="12">
        <v>100</v>
      </c>
      <c r="O71" s="12">
        <v>97.5</v>
      </c>
      <c r="P71" t="s" s="11">
        <v>24</v>
      </c>
      <c r="Q71" s="12">
        <v>10</v>
      </c>
      <c r="R71" s="12">
        <v>40</v>
      </c>
      <c r="S71" s="12">
        <v>18</v>
      </c>
      <c r="T71" s="12">
        <v>29.5</v>
      </c>
      <c r="U71" s="12">
        <v>0</v>
      </c>
      <c r="V71" s="12">
        <v>0</v>
      </c>
    </row>
    <row r="72" ht="32.05" customHeight="1">
      <c r="A72" t="s" s="9">
        <v>208</v>
      </c>
      <c r="B72" t="s" s="10">
        <v>45</v>
      </c>
      <c r="C72" t="s" s="11">
        <v>36</v>
      </c>
      <c r="D72" t="s" s="11">
        <v>33</v>
      </c>
      <c r="E72" t="s" s="11">
        <v>64</v>
      </c>
      <c r="F72" t="s" s="11">
        <v>38</v>
      </c>
      <c r="G72" s="12">
        <v>1186</v>
      </c>
      <c r="H72" t="s" s="11">
        <v>21</v>
      </c>
      <c r="I72" t="s" s="11">
        <v>21</v>
      </c>
      <c r="J72" t="s" s="11">
        <v>21</v>
      </c>
      <c r="K72" s="12">
        <v>20</v>
      </c>
      <c r="L72" s="12">
        <v>20</v>
      </c>
      <c r="M72" s="12">
        <v>40</v>
      </c>
      <c r="N72" s="16">
        <v>100</v>
      </c>
      <c r="O72" t="s" s="11">
        <v>209</v>
      </c>
      <c r="P72" t="s" s="11">
        <v>24</v>
      </c>
      <c r="Q72" s="12">
        <v>20</v>
      </c>
      <c r="R72" s="16">
        <v>61</v>
      </c>
      <c r="S72" t="s" s="11">
        <v>210</v>
      </c>
      <c r="T72" s="12">
        <v>6</v>
      </c>
      <c r="U72" s="12">
        <v>0</v>
      </c>
      <c r="V72" s="12">
        <v>0</v>
      </c>
    </row>
    <row r="73" ht="20.05" customHeight="1">
      <c r="A73" t="s" s="9">
        <v>211</v>
      </c>
      <c r="B73" t="s" s="10">
        <v>24</v>
      </c>
      <c r="C73" t="s" s="11">
        <v>36</v>
      </c>
      <c r="D73" t="s" s="11">
        <v>33</v>
      </c>
      <c r="E73" t="s" s="11">
        <v>21</v>
      </c>
      <c r="F73" t="s" s="11">
        <v>21</v>
      </c>
      <c r="G73" t="s" s="11">
        <v>21</v>
      </c>
      <c r="H73" t="s" s="11">
        <v>21</v>
      </c>
      <c r="I73" t="s" s="11">
        <v>21</v>
      </c>
      <c r="J73" t="s" s="11">
        <v>21</v>
      </c>
      <c r="K73" s="12">
        <v>10</v>
      </c>
      <c r="L73" s="12">
        <v>30</v>
      </c>
      <c r="M73" s="12">
        <v>40</v>
      </c>
      <c r="N73" s="13">
        <v>100</v>
      </c>
      <c r="O73" t="s" s="11">
        <v>212</v>
      </c>
      <c r="P73" t="s" s="11">
        <v>62</v>
      </c>
      <c r="Q73" t="s" s="11">
        <v>85</v>
      </c>
      <c r="R73" t="s" s="11">
        <v>213</v>
      </c>
      <c r="S73" s="12">
        <v>13</v>
      </c>
      <c r="T73" t="s" s="11">
        <v>146</v>
      </c>
      <c r="U73" s="12">
        <v>7</v>
      </c>
      <c r="V73" t="s" s="11">
        <v>52</v>
      </c>
    </row>
    <row r="74" ht="32.05" customHeight="1">
      <c r="A74" t="s" s="9">
        <v>214</v>
      </c>
      <c r="B74" t="s" s="10">
        <v>24</v>
      </c>
      <c r="C74" t="s" s="11">
        <v>21</v>
      </c>
      <c r="D74" t="s" s="11">
        <v>33</v>
      </c>
      <c r="E74" t="s" s="11">
        <v>21</v>
      </c>
      <c r="F74" t="s" s="11">
        <v>21</v>
      </c>
      <c r="G74" t="s" s="11">
        <v>21</v>
      </c>
      <c r="H74" t="s" s="11">
        <v>21</v>
      </c>
      <c r="I74" t="s" s="11">
        <v>21</v>
      </c>
      <c r="J74" t="s" s="11">
        <v>21</v>
      </c>
      <c r="K74" s="13">
        <v>8.58</v>
      </c>
      <c r="L74" s="12">
        <v>20</v>
      </c>
      <c r="M74" s="13">
        <v>28.58</v>
      </c>
      <c r="N74" s="21">
        <v>100</v>
      </c>
      <c r="O74" t="s" s="11">
        <v>215</v>
      </c>
      <c r="P74" t="s" s="11">
        <v>62</v>
      </c>
      <c r="Q74" s="12">
        <v>37</v>
      </c>
      <c r="R74" t="s" s="11">
        <v>216</v>
      </c>
      <c r="S74" t="s" s="11">
        <v>52</v>
      </c>
      <c r="T74" t="s" s="11">
        <v>115</v>
      </c>
      <c r="U74" s="12">
        <v>0</v>
      </c>
      <c r="V74" s="12">
        <v>13</v>
      </c>
    </row>
    <row r="75" ht="32.05" customHeight="1">
      <c r="A75" t="s" s="9">
        <v>217</v>
      </c>
      <c r="B75" t="s" s="10">
        <v>24</v>
      </c>
      <c r="C75" t="s" s="11">
        <v>36</v>
      </c>
      <c r="D75" t="s" s="11">
        <v>218</v>
      </c>
      <c r="E75" t="s" s="11">
        <v>219</v>
      </c>
      <c r="F75" t="s" s="11">
        <v>38</v>
      </c>
      <c r="G75" s="12">
        <v>1140</v>
      </c>
      <c r="H75" t="s" s="11">
        <v>21</v>
      </c>
      <c r="I75" t="s" s="11">
        <v>40</v>
      </c>
      <c r="J75" t="s" s="11">
        <v>31</v>
      </c>
      <c r="K75" s="12">
        <v>15</v>
      </c>
      <c r="L75" s="12">
        <v>30</v>
      </c>
      <c r="M75" s="12">
        <v>45</v>
      </c>
      <c r="N75" s="12">
        <v>102</v>
      </c>
      <c r="O75" s="14"/>
      <c r="P75" t="s" s="11">
        <v>220</v>
      </c>
      <c r="Q75" t="s" s="11">
        <v>52</v>
      </c>
      <c r="R75" t="s" s="11">
        <v>52</v>
      </c>
      <c r="S75" t="s" s="11">
        <v>52</v>
      </c>
      <c r="T75" t="s" s="11">
        <v>52</v>
      </c>
      <c r="U75" s="12">
        <v>0</v>
      </c>
      <c r="V75" t="s" s="11">
        <v>52</v>
      </c>
    </row>
    <row r="76" ht="32.05" customHeight="1">
      <c r="A76" t="s" s="9">
        <v>221</v>
      </c>
      <c r="B76" t="s" s="10">
        <v>24</v>
      </c>
      <c r="C76" t="s" s="11">
        <v>36</v>
      </c>
      <c r="D76" t="s" s="11">
        <v>26</v>
      </c>
      <c r="E76" t="s" s="11">
        <v>37</v>
      </c>
      <c r="F76" t="s" s="11">
        <v>38</v>
      </c>
      <c r="G76" s="13">
        <v>1190</v>
      </c>
      <c r="H76" t="s" s="11">
        <v>29</v>
      </c>
      <c r="I76" t="s" s="11">
        <v>21</v>
      </c>
      <c r="J76" t="s" s="11">
        <v>21</v>
      </c>
      <c r="K76" s="13">
        <v>12.65</v>
      </c>
      <c r="L76" s="12">
        <v>30</v>
      </c>
      <c r="M76" s="13">
        <v>42.65</v>
      </c>
      <c r="N76" s="21">
        <v>105</v>
      </c>
      <c r="O76" t="s" s="11">
        <v>222</v>
      </c>
      <c r="P76" t="s" s="11">
        <v>223</v>
      </c>
      <c r="Q76" t="s" s="11">
        <v>224</v>
      </c>
      <c r="R76" t="s" s="11">
        <v>177</v>
      </c>
      <c r="S76" t="s" s="11">
        <v>52</v>
      </c>
      <c r="T76" t="s" s="11">
        <v>107</v>
      </c>
      <c r="U76" s="12">
        <v>0</v>
      </c>
      <c r="V76" t="s" s="11">
        <v>52</v>
      </c>
    </row>
    <row r="77" ht="32.05" customHeight="1">
      <c r="A77" t="s" s="9">
        <v>225</v>
      </c>
      <c r="B77" t="s" s="10">
        <v>24</v>
      </c>
      <c r="C77" t="s" s="11">
        <v>46</v>
      </c>
      <c r="D77" t="s" s="11">
        <v>26</v>
      </c>
      <c r="E77" t="s" s="11">
        <v>37</v>
      </c>
      <c r="F77" t="s" s="11">
        <v>38</v>
      </c>
      <c r="G77" s="12">
        <v>1039</v>
      </c>
      <c r="H77" t="s" s="11">
        <v>29</v>
      </c>
      <c r="I77" t="s" s="11">
        <v>21</v>
      </c>
      <c r="J77" t="s" s="11">
        <v>21</v>
      </c>
      <c r="K77" s="12">
        <v>10</v>
      </c>
      <c r="L77" s="12">
        <v>20</v>
      </c>
      <c r="M77" s="12">
        <v>30</v>
      </c>
      <c r="N77" s="12">
        <v>110</v>
      </c>
      <c r="O77" t="s" s="11">
        <v>226</v>
      </c>
      <c r="P77" t="s" s="11">
        <v>62</v>
      </c>
      <c r="Q77" t="s" s="11">
        <v>113</v>
      </c>
      <c r="R77" t="s" s="11">
        <v>182</v>
      </c>
      <c r="S77" t="s" s="11">
        <v>227</v>
      </c>
      <c r="T77" t="s" s="11">
        <v>228</v>
      </c>
      <c r="U77" s="14"/>
      <c r="V77" s="14"/>
    </row>
    <row r="78" ht="32.05" customHeight="1">
      <c r="A78" t="s" s="9">
        <v>229</v>
      </c>
      <c r="B78" t="s" s="10">
        <v>24</v>
      </c>
      <c r="C78" t="s" s="11">
        <v>184</v>
      </c>
      <c r="D78" t="s" s="11">
        <v>26</v>
      </c>
      <c r="E78" t="s" s="11">
        <v>64</v>
      </c>
      <c r="F78" t="s" s="11">
        <v>38</v>
      </c>
      <c r="G78" t="s" s="11">
        <v>21</v>
      </c>
      <c r="H78" t="s" s="11">
        <v>29</v>
      </c>
      <c r="I78" t="s" s="11">
        <v>21</v>
      </c>
      <c r="J78" t="s" s="11">
        <v>21</v>
      </c>
      <c r="K78" s="12">
        <v>10</v>
      </c>
      <c r="L78" s="12">
        <v>20</v>
      </c>
      <c r="M78" s="12">
        <v>30</v>
      </c>
      <c r="N78" s="12">
        <v>115</v>
      </c>
      <c r="O78" s="14"/>
      <c r="P78" t="s" s="11">
        <v>62</v>
      </c>
      <c r="Q78" s="14"/>
      <c r="R78" s="14"/>
      <c r="S78" s="14"/>
      <c r="T78" s="14"/>
      <c r="U78" s="14"/>
      <c r="V78" s="14"/>
    </row>
    <row r="79" ht="32.05" customHeight="1">
      <c r="A79" t="s" s="9">
        <v>230</v>
      </c>
      <c r="B79" t="s" s="10">
        <v>24</v>
      </c>
      <c r="C79" t="s" s="11">
        <v>21</v>
      </c>
      <c r="D79" t="s" s="11">
        <v>33</v>
      </c>
      <c r="E79" t="s" s="11">
        <v>21</v>
      </c>
      <c r="F79" t="s" s="11">
        <v>21</v>
      </c>
      <c r="G79" t="s" s="11">
        <v>21</v>
      </c>
      <c r="H79" t="s" s="11">
        <v>21</v>
      </c>
      <c r="I79" t="s" s="11">
        <v>21</v>
      </c>
      <c r="J79" t="s" s="11">
        <v>21</v>
      </c>
      <c r="K79" s="12">
        <v>10</v>
      </c>
      <c r="L79" s="12">
        <v>40</v>
      </c>
      <c r="M79" s="12">
        <v>50</v>
      </c>
      <c r="N79" s="13">
        <v>123.5</v>
      </c>
      <c r="O79" t="s" s="11">
        <v>231</v>
      </c>
      <c r="P79" t="s" s="11">
        <v>232</v>
      </c>
      <c r="Q79" t="s" s="11">
        <v>233</v>
      </c>
      <c r="R79" t="s" s="11">
        <v>224</v>
      </c>
      <c r="S79" s="12">
        <v>56</v>
      </c>
      <c r="T79" s="12">
        <v>15</v>
      </c>
      <c r="U79" s="12">
        <v>0</v>
      </c>
      <c r="V79" s="12">
        <v>0</v>
      </c>
    </row>
    <row r="80" ht="32.05" customHeight="1">
      <c r="A80" t="s" s="9">
        <v>234</v>
      </c>
      <c r="B80" t="s" s="10">
        <v>45</v>
      </c>
      <c r="C80" t="s" s="15">
        <v>36</v>
      </c>
      <c r="D80" t="s" s="11">
        <v>33</v>
      </c>
      <c r="E80" t="s" s="15">
        <v>37</v>
      </c>
      <c r="F80" t="s" s="15">
        <v>38</v>
      </c>
      <c r="G80" t="s" s="11">
        <v>21</v>
      </c>
      <c r="H80" t="s" s="11">
        <v>21</v>
      </c>
      <c r="I80" t="s" s="11">
        <v>31</v>
      </c>
      <c r="J80" t="s" s="11">
        <v>31</v>
      </c>
      <c r="K80" s="12">
        <v>5</v>
      </c>
      <c r="L80" s="12">
        <v>30</v>
      </c>
      <c r="M80" s="12">
        <v>35</v>
      </c>
      <c r="N80" s="12">
        <v>125</v>
      </c>
      <c r="O80" s="12">
        <v>86</v>
      </c>
      <c r="P80" t="s" s="11">
        <v>24</v>
      </c>
      <c r="Q80" t="s" s="11">
        <v>235</v>
      </c>
      <c r="R80" t="s" s="11">
        <v>236</v>
      </c>
      <c r="S80" s="12">
        <v>23</v>
      </c>
      <c r="T80" s="12">
        <v>14</v>
      </c>
      <c r="U80" s="12">
        <v>0</v>
      </c>
      <c r="V80" s="12">
        <v>0</v>
      </c>
    </row>
    <row r="81" ht="32.05" customHeight="1">
      <c r="A81" t="s" s="18">
        <v>237</v>
      </c>
      <c r="B81" t="s" s="10">
        <v>45</v>
      </c>
      <c r="C81" t="s" s="19">
        <v>36</v>
      </c>
      <c r="D81" t="s" s="19">
        <v>33</v>
      </c>
      <c r="E81" t="s" s="19">
        <v>64</v>
      </c>
      <c r="F81" t="s" s="11">
        <v>38</v>
      </c>
      <c r="G81" t="s" s="11">
        <v>21</v>
      </c>
      <c r="H81" t="s" s="19">
        <v>21</v>
      </c>
      <c r="I81" t="s" s="19">
        <v>61</v>
      </c>
      <c r="J81" t="s" s="19">
        <v>31</v>
      </c>
      <c r="K81" s="20">
        <v>10</v>
      </c>
      <c r="L81" s="20">
        <v>30</v>
      </c>
      <c r="M81" s="20">
        <v>40</v>
      </c>
      <c r="N81" s="20">
        <v>130</v>
      </c>
      <c r="O81" t="s" s="19">
        <v>238</v>
      </c>
      <c r="P81" t="s" s="19">
        <v>24</v>
      </c>
      <c r="Q81" s="20">
        <v>21</v>
      </c>
      <c r="R81" s="20">
        <v>55</v>
      </c>
      <c r="S81" s="20">
        <v>30</v>
      </c>
      <c r="T81" s="20">
        <v>14</v>
      </c>
      <c r="U81" s="20">
        <v>0</v>
      </c>
      <c r="V81" s="20">
        <v>0</v>
      </c>
    </row>
    <row r="82" ht="32.05" customHeight="1">
      <c r="A82" t="s" s="9">
        <v>239</v>
      </c>
      <c r="B82" t="s" s="10">
        <v>24</v>
      </c>
      <c r="C82" t="s" s="11">
        <v>36</v>
      </c>
      <c r="D82" t="s" s="11">
        <v>33</v>
      </c>
      <c r="E82" t="s" s="11">
        <v>219</v>
      </c>
      <c r="F82" t="s" s="11">
        <v>38</v>
      </c>
      <c r="G82" s="13">
        <v>1156</v>
      </c>
      <c r="H82" t="s" s="11">
        <v>21</v>
      </c>
      <c r="I82" t="s" s="11">
        <v>21</v>
      </c>
      <c r="J82" t="s" s="11">
        <v>21</v>
      </c>
      <c r="K82" s="12">
        <v>20</v>
      </c>
      <c r="L82" s="12">
        <v>40</v>
      </c>
      <c r="M82" s="12">
        <v>60</v>
      </c>
      <c r="N82" s="13">
        <v>148.2</v>
      </c>
      <c r="O82" t="s" s="11">
        <v>240</v>
      </c>
      <c r="P82" t="s" s="11">
        <v>62</v>
      </c>
      <c r="Q82" s="12">
        <v>50</v>
      </c>
      <c r="R82" t="s" s="11">
        <v>241</v>
      </c>
      <c r="S82" t="s" s="11">
        <v>52</v>
      </c>
      <c r="T82" t="s" s="11">
        <v>52</v>
      </c>
      <c r="U82" s="12">
        <v>0</v>
      </c>
      <c r="V82" t="s" s="11">
        <v>52</v>
      </c>
    </row>
    <row r="83" ht="20.05" customHeight="1">
      <c r="A83" t="s" s="9">
        <v>242</v>
      </c>
      <c r="B83" t="s" s="10">
        <v>24</v>
      </c>
      <c r="C83" t="s" s="11">
        <v>36</v>
      </c>
      <c r="D83" t="s" s="11">
        <v>33</v>
      </c>
      <c r="E83" t="s" s="11">
        <v>21</v>
      </c>
      <c r="F83" t="s" s="11">
        <v>21</v>
      </c>
      <c r="G83" s="12">
        <v>1133</v>
      </c>
      <c r="H83" t="s" s="11">
        <v>21</v>
      </c>
      <c r="I83" t="s" s="11">
        <v>21</v>
      </c>
      <c r="J83" t="s" s="11">
        <v>21</v>
      </c>
      <c r="K83" s="12">
        <v>20</v>
      </c>
      <c r="L83" s="12">
        <v>40</v>
      </c>
      <c r="M83" s="12">
        <v>60</v>
      </c>
      <c r="N83" s="13">
        <v>148.2</v>
      </c>
      <c r="O83" t="s" s="11">
        <v>243</v>
      </c>
      <c r="P83" t="s" s="11">
        <v>62</v>
      </c>
      <c r="Q83" t="s" s="11">
        <v>216</v>
      </c>
      <c r="R83" t="s" s="11">
        <v>52</v>
      </c>
      <c r="S83" t="s" s="11">
        <v>52</v>
      </c>
      <c r="T83" t="s" s="11">
        <v>52</v>
      </c>
      <c r="U83" s="12">
        <v>94</v>
      </c>
      <c r="V83" t="s" s="11">
        <v>52</v>
      </c>
    </row>
    <row r="84" ht="32.05" customHeight="1">
      <c r="A84" t="s" s="9">
        <v>244</v>
      </c>
      <c r="B84" t="s" s="10">
        <v>24</v>
      </c>
      <c r="C84" t="s" s="11">
        <v>46</v>
      </c>
      <c r="D84" t="s" s="11">
        <v>26</v>
      </c>
      <c r="E84" t="s" s="11">
        <v>37</v>
      </c>
      <c r="F84" t="s" s="11">
        <v>38</v>
      </c>
      <c r="G84" s="12">
        <v>1069</v>
      </c>
      <c r="H84" t="s" s="11">
        <v>21</v>
      </c>
      <c r="I84" t="s" s="11">
        <v>21</v>
      </c>
      <c r="J84" t="s" s="11">
        <v>21</v>
      </c>
      <c r="K84" s="12">
        <v>10</v>
      </c>
      <c r="L84" s="12">
        <v>20</v>
      </c>
      <c r="M84" s="12">
        <v>30</v>
      </c>
      <c r="N84" s="13">
        <v>150</v>
      </c>
      <c r="O84" t="s" s="11">
        <v>245</v>
      </c>
      <c r="P84" t="s" s="11">
        <v>62</v>
      </c>
      <c r="Q84" t="s" s="11">
        <v>246</v>
      </c>
      <c r="R84" t="s" s="11">
        <v>247</v>
      </c>
      <c r="S84" t="s" s="11">
        <v>52</v>
      </c>
      <c r="T84" t="s" s="11">
        <v>52</v>
      </c>
      <c r="U84" s="12">
        <v>0</v>
      </c>
      <c r="V84" t="s" s="11">
        <v>52</v>
      </c>
    </row>
    <row r="85" ht="32.05" customHeight="1">
      <c r="A85" t="s" s="9">
        <v>248</v>
      </c>
      <c r="B85" t="s" s="10">
        <v>24</v>
      </c>
      <c r="C85" t="s" s="11">
        <v>21</v>
      </c>
      <c r="D85" t="s" s="11">
        <v>33</v>
      </c>
      <c r="E85" t="s" s="11">
        <v>21</v>
      </c>
      <c r="F85" t="s" s="11">
        <v>21</v>
      </c>
      <c r="G85" t="s" s="11">
        <v>21</v>
      </c>
      <c r="H85" t="s" s="11">
        <v>21</v>
      </c>
      <c r="I85" t="s" s="11">
        <v>21</v>
      </c>
      <c r="J85" t="s" s="11">
        <v>21</v>
      </c>
      <c r="K85" s="12">
        <v>5</v>
      </c>
      <c r="L85" s="12">
        <v>10</v>
      </c>
      <c r="M85" s="12">
        <v>15</v>
      </c>
      <c r="N85" s="13">
        <v>155</v>
      </c>
      <c r="O85" t="s" s="11">
        <v>249</v>
      </c>
      <c r="P85" t="s" s="11">
        <v>62</v>
      </c>
      <c r="Q85" t="s" s="11">
        <v>250</v>
      </c>
      <c r="R85" s="12">
        <v>96</v>
      </c>
      <c r="S85" s="12">
        <v>50</v>
      </c>
      <c r="T85" t="s" s="11">
        <v>52</v>
      </c>
      <c r="U85" s="12">
        <v>0</v>
      </c>
      <c r="V85" t="s" s="11">
        <v>52</v>
      </c>
    </row>
    <row r="86" ht="32.05" customHeight="1">
      <c r="A86" t="s" s="9">
        <v>251</v>
      </c>
      <c r="B86" t="s" s="10">
        <v>24</v>
      </c>
      <c r="C86" t="s" s="11">
        <v>36</v>
      </c>
      <c r="D86" t="s" s="11">
        <v>26</v>
      </c>
      <c r="E86" t="s" s="11">
        <v>21</v>
      </c>
      <c r="F86" t="s" s="11">
        <v>21</v>
      </c>
      <c r="G86" s="12">
        <v>1155</v>
      </c>
      <c r="H86" t="s" s="11">
        <v>29</v>
      </c>
      <c r="I86" t="s" s="11">
        <v>21</v>
      </c>
      <c r="J86" t="s" s="11">
        <v>21</v>
      </c>
      <c r="K86" s="13">
        <v>15</v>
      </c>
      <c r="L86" s="13">
        <v>30</v>
      </c>
      <c r="M86" s="13">
        <v>45</v>
      </c>
      <c r="N86" s="13">
        <v>155</v>
      </c>
      <c r="O86" s="12">
        <v>72</v>
      </c>
      <c r="P86" t="s" s="11">
        <v>62</v>
      </c>
      <c r="Q86" s="12">
        <v>3</v>
      </c>
      <c r="R86" s="12">
        <v>46</v>
      </c>
      <c r="S86" s="12">
        <v>23</v>
      </c>
      <c r="T86" t="s" s="11">
        <v>52</v>
      </c>
      <c r="U86" s="12">
        <v>0</v>
      </c>
      <c r="V86" t="s" s="11">
        <v>52</v>
      </c>
    </row>
    <row r="87" ht="32.05" customHeight="1">
      <c r="A87" t="s" s="9">
        <v>252</v>
      </c>
      <c r="B87" t="s" s="10">
        <v>24</v>
      </c>
      <c r="C87" t="s" s="11">
        <v>36</v>
      </c>
      <c r="D87" t="s" s="11">
        <v>26</v>
      </c>
      <c r="E87" t="s" s="11">
        <v>37</v>
      </c>
      <c r="F87" t="s" s="11">
        <v>38</v>
      </c>
      <c r="G87" s="12">
        <v>1125</v>
      </c>
      <c r="H87" t="s" s="11">
        <v>29</v>
      </c>
      <c r="I87" t="s" s="11">
        <v>40</v>
      </c>
      <c r="J87" t="s" s="11">
        <v>253</v>
      </c>
      <c r="K87" s="12">
        <v>7</v>
      </c>
      <c r="L87" s="13">
        <v>20</v>
      </c>
      <c r="M87" s="12">
        <v>27</v>
      </c>
      <c r="N87" s="12">
        <v>158</v>
      </c>
      <c r="O87" s="12">
        <v>143</v>
      </c>
      <c r="P87" t="s" s="11">
        <v>24</v>
      </c>
      <c r="Q87" t="s" s="11">
        <v>254</v>
      </c>
      <c r="R87" t="s" s="11">
        <v>255</v>
      </c>
      <c r="S87" t="s" s="11">
        <v>256</v>
      </c>
      <c r="T87" t="s" s="11">
        <v>257</v>
      </c>
      <c r="U87" s="12">
        <v>0</v>
      </c>
      <c r="V87" s="12">
        <v>0</v>
      </c>
    </row>
    <row r="88" ht="44.05" customHeight="1">
      <c r="A88" t="s" s="9">
        <v>258</v>
      </c>
      <c r="B88" t="s" s="10">
        <v>24</v>
      </c>
      <c r="C88" t="s" s="11">
        <v>259</v>
      </c>
      <c r="D88" t="s" s="11">
        <v>33</v>
      </c>
      <c r="E88" t="s" s="11">
        <v>21</v>
      </c>
      <c r="F88" t="s" s="11">
        <v>21</v>
      </c>
      <c r="G88" t="s" s="11">
        <v>21</v>
      </c>
      <c r="H88" t="s" s="11">
        <v>21</v>
      </c>
      <c r="I88" t="s" s="11">
        <v>21</v>
      </c>
      <c r="J88" t="s" s="11">
        <v>21</v>
      </c>
      <c r="K88" s="13">
        <v>8</v>
      </c>
      <c r="L88" s="13">
        <v>20</v>
      </c>
      <c r="M88" s="13">
        <v>28</v>
      </c>
      <c r="N88" s="12">
        <v>160</v>
      </c>
      <c r="O88" t="s" s="11">
        <v>260</v>
      </c>
      <c r="P88" t="s" s="11">
        <v>24</v>
      </c>
      <c r="Q88" t="s" s="11">
        <v>261</v>
      </c>
      <c r="R88" t="s" s="11">
        <v>262</v>
      </c>
      <c r="S88" s="12">
        <v>16</v>
      </c>
      <c r="T88" s="12">
        <v>13</v>
      </c>
      <c r="U88" s="12">
        <v>0</v>
      </c>
      <c r="V88" s="12">
        <v>0</v>
      </c>
    </row>
    <row r="89" ht="32.05" customHeight="1">
      <c r="A89" t="s" s="9">
        <v>263</v>
      </c>
      <c r="B89" t="s" s="10">
        <v>24</v>
      </c>
      <c r="C89" t="s" s="11">
        <v>36</v>
      </c>
      <c r="D89" t="s" s="11">
        <v>33</v>
      </c>
      <c r="E89" t="s" s="11">
        <v>219</v>
      </c>
      <c r="F89" t="s" s="11">
        <v>38</v>
      </c>
      <c r="G89" s="13">
        <v>1156</v>
      </c>
      <c r="H89" t="s" s="11">
        <v>21</v>
      </c>
      <c r="I89" t="s" s="11">
        <v>40</v>
      </c>
      <c r="J89" t="s" s="11">
        <v>21</v>
      </c>
      <c r="K89" s="12">
        <v>20</v>
      </c>
      <c r="L89" s="12">
        <v>50</v>
      </c>
      <c r="M89" s="12">
        <v>70</v>
      </c>
      <c r="N89" s="13">
        <v>172.9</v>
      </c>
      <c r="O89" t="s" s="11">
        <v>264</v>
      </c>
      <c r="P89" t="s" s="11">
        <v>62</v>
      </c>
      <c r="Q89" t="s" s="11">
        <v>265</v>
      </c>
      <c r="R89" t="s" s="11">
        <v>266</v>
      </c>
      <c r="S89" t="s" s="11">
        <v>52</v>
      </c>
      <c r="T89" t="s" s="11">
        <v>52</v>
      </c>
      <c r="U89" s="12">
        <v>0</v>
      </c>
      <c r="V89" t="s" s="11">
        <v>52</v>
      </c>
    </row>
    <row r="90" ht="32.05" customHeight="1">
      <c r="A90" t="s" s="9">
        <v>267</v>
      </c>
      <c r="B90" t="s" s="10">
        <v>24</v>
      </c>
      <c r="C90" t="s" s="11">
        <v>46</v>
      </c>
      <c r="D90" t="s" s="11">
        <v>26</v>
      </c>
      <c r="E90" t="s" s="11">
        <v>37</v>
      </c>
      <c r="F90" t="s" s="11">
        <v>38</v>
      </c>
      <c r="G90" s="12">
        <v>1037</v>
      </c>
      <c r="H90" t="s" s="11">
        <v>29</v>
      </c>
      <c r="I90" t="s" s="11">
        <v>21</v>
      </c>
      <c r="J90" t="s" s="11">
        <v>21</v>
      </c>
      <c r="K90" s="13">
        <v>25</v>
      </c>
      <c r="L90" s="13">
        <v>70</v>
      </c>
      <c r="M90" s="13">
        <v>95</v>
      </c>
      <c r="N90" s="13">
        <v>180</v>
      </c>
      <c r="O90" t="s" s="11">
        <v>268</v>
      </c>
      <c r="P90" t="s" s="11">
        <v>269</v>
      </c>
      <c r="Q90" t="s" s="11">
        <v>204</v>
      </c>
      <c r="R90" t="s" s="11">
        <v>270</v>
      </c>
      <c r="S90" s="12">
        <v>20</v>
      </c>
      <c r="T90" t="s" s="11">
        <v>52</v>
      </c>
      <c r="U90" s="12">
        <v>0</v>
      </c>
      <c r="V90" t="s" s="11">
        <v>52</v>
      </c>
    </row>
    <row r="91" ht="44.05" customHeight="1">
      <c r="A91" t="s" s="9">
        <v>271</v>
      </c>
      <c r="B91" t="s" s="10">
        <v>45</v>
      </c>
      <c r="C91" t="s" s="11">
        <v>36</v>
      </c>
      <c r="D91" t="s" s="11">
        <v>33</v>
      </c>
      <c r="E91" t="s" s="11">
        <v>38</v>
      </c>
      <c r="F91" t="s" s="11">
        <v>38</v>
      </c>
      <c r="G91" s="12">
        <v>1186</v>
      </c>
      <c r="H91" t="s" s="11">
        <v>21</v>
      </c>
      <c r="I91" t="s" s="11">
        <v>21</v>
      </c>
      <c r="J91" t="s" s="11">
        <v>21</v>
      </c>
      <c r="K91" s="12">
        <v>10</v>
      </c>
      <c r="L91" s="12">
        <v>20</v>
      </c>
      <c r="M91" s="12">
        <v>30</v>
      </c>
      <c r="N91" s="12">
        <v>180</v>
      </c>
      <c r="O91" t="s" s="11">
        <v>272</v>
      </c>
      <c r="P91" t="s" s="11">
        <v>273</v>
      </c>
      <c r="Q91" s="12">
        <v>53</v>
      </c>
      <c r="R91" s="12">
        <v>72</v>
      </c>
      <c r="S91" s="12">
        <v>25</v>
      </c>
      <c r="T91" t="s" s="11">
        <v>274</v>
      </c>
      <c r="U91" s="12">
        <v>0</v>
      </c>
      <c r="V91" s="12">
        <v>0</v>
      </c>
    </row>
    <row r="92" ht="32.05" customHeight="1">
      <c r="A92" t="s" s="9">
        <v>275</v>
      </c>
      <c r="B92" t="s" s="10">
        <v>24</v>
      </c>
      <c r="C92" t="s" s="11">
        <v>36</v>
      </c>
      <c r="D92" t="s" s="11">
        <v>33</v>
      </c>
      <c r="E92" t="s" s="11">
        <v>21</v>
      </c>
      <c r="F92" t="s" s="11">
        <v>21</v>
      </c>
      <c r="G92" s="12">
        <v>1169</v>
      </c>
      <c r="H92" t="s" s="11">
        <v>21</v>
      </c>
      <c r="I92" t="s" s="11">
        <v>21</v>
      </c>
      <c r="J92" t="s" s="11">
        <v>21</v>
      </c>
      <c r="K92" s="12">
        <v>10</v>
      </c>
      <c r="L92" s="13">
        <v>15</v>
      </c>
      <c r="M92" s="13">
        <v>25</v>
      </c>
      <c r="N92" s="21">
        <v>200</v>
      </c>
      <c r="O92" t="s" s="11">
        <v>276</v>
      </c>
      <c r="P92" t="s" s="11">
        <v>62</v>
      </c>
      <c r="Q92" t="s" s="11">
        <v>52</v>
      </c>
      <c r="R92" t="s" s="11">
        <v>277</v>
      </c>
      <c r="S92" s="12">
        <v>82</v>
      </c>
      <c r="T92" s="12">
        <v>45</v>
      </c>
      <c r="U92" s="12">
        <v>5</v>
      </c>
      <c r="V92" s="12">
        <v>0</v>
      </c>
    </row>
    <row r="93" ht="32.05" customHeight="1">
      <c r="A93" t="s" s="9">
        <v>278</v>
      </c>
      <c r="B93" t="s" s="10">
        <v>24</v>
      </c>
      <c r="C93" t="s" s="11">
        <v>21</v>
      </c>
      <c r="D93" t="s" s="11">
        <v>33</v>
      </c>
      <c r="E93" t="s" s="11">
        <v>21</v>
      </c>
      <c r="F93" t="s" s="11">
        <v>21</v>
      </c>
      <c r="G93" t="s" s="11">
        <v>21</v>
      </c>
      <c r="H93" t="s" s="11">
        <v>21</v>
      </c>
      <c r="I93" t="s" s="11">
        <v>21</v>
      </c>
      <c r="J93" t="s" s="11">
        <v>21</v>
      </c>
      <c r="K93" s="12">
        <v>20</v>
      </c>
      <c r="L93" s="12">
        <v>30</v>
      </c>
      <c r="M93" s="12">
        <v>50</v>
      </c>
      <c r="N93" s="12">
        <v>200</v>
      </c>
      <c r="O93" t="s" s="11">
        <v>279</v>
      </c>
      <c r="P93" t="s" s="11">
        <v>62</v>
      </c>
      <c r="Q93" s="12">
        <v>5</v>
      </c>
      <c r="R93" t="s" s="11">
        <v>280</v>
      </c>
      <c r="S93" t="s" s="11">
        <v>281</v>
      </c>
      <c r="T93" s="12">
        <v>39</v>
      </c>
      <c r="U93" s="12">
        <v>0</v>
      </c>
      <c r="V93" s="12">
        <v>0</v>
      </c>
    </row>
    <row r="94" ht="20.05" customHeight="1">
      <c r="A94" t="s" s="9">
        <v>282</v>
      </c>
      <c r="B94" t="s" s="10">
        <v>24</v>
      </c>
      <c r="C94" t="s" s="11">
        <v>21</v>
      </c>
      <c r="D94" t="s" s="11">
        <v>33</v>
      </c>
      <c r="E94" t="s" s="11">
        <v>21</v>
      </c>
      <c r="F94" t="s" s="11">
        <v>21</v>
      </c>
      <c r="G94" t="s" s="11">
        <v>21</v>
      </c>
      <c r="H94" t="s" s="11">
        <v>21</v>
      </c>
      <c r="I94" t="s" s="11">
        <v>21</v>
      </c>
      <c r="J94" t="s" s="11">
        <v>21</v>
      </c>
      <c r="K94" s="12">
        <v>10</v>
      </c>
      <c r="L94" s="12">
        <v>20</v>
      </c>
      <c r="M94" s="12">
        <v>30</v>
      </c>
      <c r="N94" s="12">
        <v>203</v>
      </c>
      <c r="O94" t="s" s="11">
        <v>283</v>
      </c>
      <c r="P94" t="s" s="11">
        <v>62</v>
      </c>
      <c r="Q94" s="12">
        <v>11</v>
      </c>
      <c r="R94" t="s" s="11">
        <v>284</v>
      </c>
      <c r="S94" s="12">
        <v>31</v>
      </c>
      <c r="T94" s="12">
        <v>34</v>
      </c>
      <c r="U94" s="12">
        <v>0</v>
      </c>
      <c r="V94" s="12">
        <v>0</v>
      </c>
    </row>
    <row r="95" ht="32.05" customHeight="1">
      <c r="A95" t="s" s="9">
        <v>285</v>
      </c>
      <c r="B95" t="s" s="10">
        <v>24</v>
      </c>
      <c r="C95" t="s" s="11">
        <v>36</v>
      </c>
      <c r="D95" t="s" s="11">
        <v>33</v>
      </c>
      <c r="E95" t="s" s="11">
        <v>64</v>
      </c>
      <c r="F95" t="s" s="11">
        <v>38</v>
      </c>
      <c r="G95" s="13">
        <v>1160</v>
      </c>
      <c r="H95" t="s" s="11">
        <v>21</v>
      </c>
      <c r="I95" t="s" s="11">
        <v>21</v>
      </c>
      <c r="J95" t="s" s="11">
        <v>21</v>
      </c>
      <c r="K95" s="12">
        <v>10</v>
      </c>
      <c r="L95" s="12">
        <v>30</v>
      </c>
      <c r="M95" s="12">
        <v>40</v>
      </c>
      <c r="N95" s="12">
        <v>210</v>
      </c>
      <c r="O95" t="s" s="11">
        <v>286</v>
      </c>
      <c r="P95" t="s" s="11">
        <v>24</v>
      </c>
      <c r="Q95" t="s" s="11">
        <v>85</v>
      </c>
      <c r="R95" t="s" s="11">
        <v>287</v>
      </c>
      <c r="S95" t="s" s="11">
        <v>288</v>
      </c>
      <c r="T95" s="12">
        <v>22</v>
      </c>
      <c r="U95" s="14"/>
      <c r="V95" s="14"/>
    </row>
    <row r="96" ht="56.05" customHeight="1">
      <c r="A96" t="s" s="9">
        <v>289</v>
      </c>
      <c r="B96" t="s" s="10">
        <v>24</v>
      </c>
      <c r="C96" t="s" s="11">
        <v>25</v>
      </c>
      <c r="D96" t="s" s="11">
        <v>26</v>
      </c>
      <c r="E96" t="s" s="11">
        <v>290</v>
      </c>
      <c r="F96" t="s" s="11">
        <v>57</v>
      </c>
      <c r="G96" s="12">
        <v>933</v>
      </c>
      <c r="H96" t="s" s="11">
        <v>29</v>
      </c>
      <c r="I96" t="s" s="11">
        <v>21</v>
      </c>
      <c r="J96" t="s" s="11">
        <v>21</v>
      </c>
      <c r="K96" s="12">
        <v>5</v>
      </c>
      <c r="L96" s="12">
        <v>20</v>
      </c>
      <c r="M96" s="13">
        <v>25</v>
      </c>
      <c r="N96" s="22">
        <v>237</v>
      </c>
      <c r="O96" t="s" s="23">
        <v>291</v>
      </c>
      <c r="P96" t="s" s="11">
        <v>292</v>
      </c>
      <c r="Q96" s="12">
        <v>30</v>
      </c>
      <c r="R96" s="13">
        <v>47</v>
      </c>
      <c r="S96" s="12">
        <f>8+10+7+6</f>
        <v>31</v>
      </c>
      <c r="T96" s="13">
        <v>129</v>
      </c>
      <c r="U96" s="12">
        <v>0</v>
      </c>
      <c r="V96" s="12">
        <v>0</v>
      </c>
    </row>
    <row r="97" ht="32.05" customHeight="1">
      <c r="A97" t="s" s="9">
        <v>293</v>
      </c>
      <c r="B97" t="s" s="10">
        <v>24</v>
      </c>
      <c r="C97" t="s" s="11">
        <v>46</v>
      </c>
      <c r="D97" t="s" s="11">
        <v>26</v>
      </c>
      <c r="E97" t="s" s="11">
        <v>37</v>
      </c>
      <c r="F97" t="s" s="11">
        <v>38</v>
      </c>
      <c r="G97" s="13">
        <v>1020</v>
      </c>
      <c r="H97" t="s" s="11">
        <v>29</v>
      </c>
      <c r="I97" t="s" s="11">
        <v>21</v>
      </c>
      <c r="J97" t="s" s="11">
        <v>21</v>
      </c>
      <c r="K97" s="12">
        <v>20</v>
      </c>
      <c r="L97" s="12">
        <v>30</v>
      </c>
      <c r="M97" s="12">
        <v>50</v>
      </c>
      <c r="N97" s="12">
        <v>240</v>
      </c>
      <c r="O97" t="s" s="11">
        <v>294</v>
      </c>
      <c r="P97" t="s" s="11">
        <v>62</v>
      </c>
      <c r="Q97" s="12">
        <v>50</v>
      </c>
      <c r="R97" t="s" s="11">
        <v>295</v>
      </c>
      <c r="S97" t="s" s="11">
        <v>296</v>
      </c>
      <c r="T97" t="s" s="11">
        <v>297</v>
      </c>
      <c r="U97" s="12">
        <v>21</v>
      </c>
      <c r="V97" s="12">
        <v>0</v>
      </c>
    </row>
    <row r="98" ht="32.05" customHeight="1">
      <c r="A98" t="s" s="9">
        <v>298</v>
      </c>
      <c r="B98" t="s" s="10">
        <v>24</v>
      </c>
      <c r="C98" t="s" s="15">
        <v>36</v>
      </c>
      <c r="D98" t="s" s="11">
        <v>26</v>
      </c>
      <c r="E98" t="s" s="11">
        <v>37</v>
      </c>
      <c r="F98" t="s" s="11">
        <v>38</v>
      </c>
      <c r="G98" t="s" s="11">
        <v>21</v>
      </c>
      <c r="H98" t="s" s="11">
        <v>39</v>
      </c>
      <c r="I98" t="s" s="11">
        <v>21</v>
      </c>
      <c r="J98" t="s" s="11">
        <v>40</v>
      </c>
      <c r="K98" s="13">
        <v>10</v>
      </c>
      <c r="L98" s="13">
        <v>15</v>
      </c>
      <c r="M98" s="13">
        <v>25</v>
      </c>
      <c r="N98" s="21">
        <v>250</v>
      </c>
      <c r="O98" t="s" s="11">
        <v>299</v>
      </c>
      <c r="P98" t="s" s="11">
        <v>62</v>
      </c>
      <c r="Q98" t="s" s="11">
        <v>300</v>
      </c>
      <c r="R98" t="s" s="11">
        <v>301</v>
      </c>
      <c r="S98" s="14"/>
      <c r="T98" s="14"/>
      <c r="U98" s="12">
        <v>14</v>
      </c>
      <c r="V98" s="14"/>
    </row>
    <row r="99" ht="32.05" customHeight="1">
      <c r="A99" t="s" s="9">
        <v>302</v>
      </c>
      <c r="B99" t="s" s="10">
        <v>24</v>
      </c>
      <c r="C99" t="s" s="11">
        <v>46</v>
      </c>
      <c r="D99" t="s" s="11">
        <v>26</v>
      </c>
      <c r="E99" t="s" s="11">
        <v>56</v>
      </c>
      <c r="F99" t="s" s="11">
        <v>57</v>
      </c>
      <c r="G99" t="s" s="11">
        <v>21</v>
      </c>
      <c r="H99" t="s" s="11">
        <v>29</v>
      </c>
      <c r="I99" t="s" s="11">
        <v>21</v>
      </c>
      <c r="J99" t="s" s="11">
        <v>21</v>
      </c>
      <c r="K99" s="12">
        <v>40</v>
      </c>
      <c r="L99" s="13">
        <v>90</v>
      </c>
      <c r="M99" s="13">
        <v>130</v>
      </c>
      <c r="N99" s="21">
        <v>250</v>
      </c>
      <c r="O99" t="s" s="11">
        <v>303</v>
      </c>
      <c r="P99" t="s" s="11">
        <v>49</v>
      </c>
      <c r="Q99" t="s" s="11">
        <v>182</v>
      </c>
      <c r="R99" t="s" s="11">
        <v>304</v>
      </c>
      <c r="S99" t="s" s="11">
        <v>115</v>
      </c>
      <c r="T99" t="s" s="11">
        <v>115</v>
      </c>
      <c r="U99" s="12">
        <v>4</v>
      </c>
      <c r="V99" t="s" s="11">
        <v>52</v>
      </c>
    </row>
    <row r="100" ht="32.05" customHeight="1">
      <c r="A100" t="s" s="9">
        <v>305</v>
      </c>
      <c r="B100" t="s" s="10">
        <v>24</v>
      </c>
      <c r="C100" t="s" s="11">
        <v>36</v>
      </c>
      <c r="D100" t="s" s="11">
        <v>33</v>
      </c>
      <c r="E100" t="s" s="11">
        <v>64</v>
      </c>
      <c r="F100" t="s" s="11">
        <v>38</v>
      </c>
      <c r="G100" s="12">
        <v>1159</v>
      </c>
      <c r="H100" t="s" s="11">
        <v>29</v>
      </c>
      <c r="I100" t="s" s="11">
        <v>21</v>
      </c>
      <c r="J100" t="s" s="11">
        <v>21</v>
      </c>
      <c r="K100" s="12">
        <v>30</v>
      </c>
      <c r="L100" s="12">
        <v>80</v>
      </c>
      <c r="M100" s="12">
        <v>110</v>
      </c>
      <c r="N100" s="13">
        <v>271.7</v>
      </c>
      <c r="O100" t="s" s="11">
        <v>306</v>
      </c>
      <c r="P100" t="s" s="11">
        <v>62</v>
      </c>
      <c r="Q100" s="12">
        <v>156</v>
      </c>
      <c r="R100" s="12">
        <v>108</v>
      </c>
      <c r="S100" t="s" s="11">
        <v>52</v>
      </c>
      <c r="T100" t="s" s="11">
        <v>52</v>
      </c>
      <c r="U100" s="12">
        <v>0</v>
      </c>
      <c r="V100" t="s" s="11">
        <v>52</v>
      </c>
    </row>
    <row r="101" ht="68.05" customHeight="1">
      <c r="A101" t="s" s="9">
        <v>307</v>
      </c>
      <c r="B101" t="s" s="10">
        <v>24</v>
      </c>
      <c r="C101" t="s" s="11">
        <v>46</v>
      </c>
      <c r="D101" t="s" s="11">
        <v>26</v>
      </c>
      <c r="E101" t="s" s="11">
        <v>308</v>
      </c>
      <c r="F101" t="s" s="11">
        <v>38</v>
      </c>
      <c r="G101" t="s" s="11">
        <v>21</v>
      </c>
      <c r="H101" t="s" s="11">
        <v>29</v>
      </c>
      <c r="I101" t="s" s="11">
        <v>21</v>
      </c>
      <c r="J101" t="s" s="11">
        <v>21</v>
      </c>
      <c r="K101" s="12">
        <v>10</v>
      </c>
      <c r="L101" s="13">
        <v>15</v>
      </c>
      <c r="M101" s="13">
        <v>25</v>
      </c>
      <c r="N101" s="12">
        <v>277</v>
      </c>
      <c r="O101" t="s" s="11">
        <v>309</v>
      </c>
      <c r="P101" t="s" s="11">
        <v>49</v>
      </c>
      <c r="Q101" t="s" s="11">
        <v>131</v>
      </c>
      <c r="R101" t="s" s="11">
        <v>182</v>
      </c>
      <c r="S101" t="s" s="11">
        <v>204</v>
      </c>
      <c r="T101" t="s" s="11">
        <v>52</v>
      </c>
      <c r="U101" s="12">
        <v>10</v>
      </c>
      <c r="V101" t="s" s="11">
        <v>52</v>
      </c>
    </row>
    <row r="102" ht="32.05" customHeight="1">
      <c r="A102" t="s" s="9">
        <v>310</v>
      </c>
      <c r="B102" t="s" s="10">
        <v>24</v>
      </c>
      <c r="C102" t="s" s="11">
        <v>46</v>
      </c>
      <c r="D102" t="s" s="11">
        <v>143</v>
      </c>
      <c r="E102" t="s" s="19">
        <v>21</v>
      </c>
      <c r="F102" t="s" s="19">
        <v>21</v>
      </c>
      <c r="G102" s="20">
        <v>1089</v>
      </c>
      <c r="H102" t="s" s="19">
        <v>29</v>
      </c>
      <c r="I102" t="s" s="19">
        <v>31</v>
      </c>
      <c r="J102" t="s" s="19">
        <v>40</v>
      </c>
      <c r="K102" s="20">
        <v>40</v>
      </c>
      <c r="L102" s="20">
        <v>80</v>
      </c>
      <c r="M102" s="20">
        <v>120</v>
      </c>
      <c r="N102" s="24">
        <v>296.4</v>
      </c>
      <c r="O102" t="s" s="19">
        <v>311</v>
      </c>
      <c r="P102" t="s" s="19">
        <v>24</v>
      </c>
      <c r="Q102" t="s" s="19">
        <v>312</v>
      </c>
      <c r="R102" t="s" s="19">
        <v>313</v>
      </c>
      <c r="S102" t="s" s="19">
        <v>314</v>
      </c>
      <c r="T102" t="s" s="19">
        <v>113</v>
      </c>
      <c r="U102" s="25"/>
      <c r="V102" s="25"/>
    </row>
    <row r="103" ht="68.05" customHeight="1">
      <c r="A103" t="s" s="9">
        <v>315</v>
      </c>
      <c r="B103" t="s" s="10">
        <v>24</v>
      </c>
      <c r="C103" t="s" s="11">
        <v>46</v>
      </c>
      <c r="D103" t="s" s="11">
        <v>33</v>
      </c>
      <c r="E103" t="s" s="11">
        <v>21</v>
      </c>
      <c r="F103" t="s" s="11">
        <v>21</v>
      </c>
      <c r="G103" s="12">
        <v>1089</v>
      </c>
      <c r="H103" t="s" s="11">
        <v>29</v>
      </c>
      <c r="I103" t="s" s="11">
        <v>31</v>
      </c>
      <c r="J103" t="s" s="11">
        <v>40</v>
      </c>
      <c r="K103" s="12">
        <v>40</v>
      </c>
      <c r="L103" s="12">
        <v>80</v>
      </c>
      <c r="M103" s="12">
        <v>120</v>
      </c>
      <c r="N103" s="13">
        <v>296.4</v>
      </c>
      <c r="O103" t="s" s="11">
        <v>311</v>
      </c>
      <c r="P103" t="s" s="11">
        <v>24</v>
      </c>
      <c r="Q103" t="s" s="11">
        <v>312</v>
      </c>
      <c r="R103" t="s" s="11">
        <v>313</v>
      </c>
      <c r="S103" t="s" s="11">
        <v>314</v>
      </c>
      <c r="T103" t="s" s="11">
        <v>113</v>
      </c>
      <c r="U103" s="14"/>
      <c r="V103" s="14"/>
    </row>
    <row r="104" ht="32.05" customHeight="1">
      <c r="A104" t="s" s="9">
        <v>316</v>
      </c>
      <c r="B104" t="s" s="10">
        <v>24</v>
      </c>
      <c r="C104" t="s" s="11">
        <v>142</v>
      </c>
      <c r="D104" t="s" s="11">
        <v>26</v>
      </c>
      <c r="E104" t="s" s="11">
        <v>21</v>
      </c>
      <c r="F104" t="s" s="11">
        <v>21</v>
      </c>
      <c r="G104" s="13">
        <v>1337</v>
      </c>
      <c r="H104" t="s" s="11">
        <v>29</v>
      </c>
      <c r="I104" t="s" s="11">
        <v>31</v>
      </c>
      <c r="J104" t="s" s="11">
        <v>21</v>
      </c>
      <c r="K104" s="13">
        <v>50</v>
      </c>
      <c r="L104" s="13">
        <v>100</v>
      </c>
      <c r="M104" s="13">
        <v>150</v>
      </c>
      <c r="N104" s="21">
        <v>300</v>
      </c>
      <c r="O104" t="s" s="11">
        <v>317</v>
      </c>
      <c r="P104" t="s" s="11">
        <v>49</v>
      </c>
      <c r="Q104" t="s" s="11">
        <v>318</v>
      </c>
      <c r="R104" t="s" s="11">
        <v>319</v>
      </c>
      <c r="S104" t="s" s="11">
        <v>52</v>
      </c>
      <c r="T104" s="12">
        <v>20</v>
      </c>
      <c r="U104" s="12">
        <v>0</v>
      </c>
      <c r="V104" t="s" s="11">
        <v>52</v>
      </c>
    </row>
    <row r="105" ht="32.05" customHeight="1">
      <c r="A105" t="s" s="9">
        <v>320</v>
      </c>
      <c r="B105" t="s" s="10">
        <v>24</v>
      </c>
      <c r="C105" t="s" s="11">
        <v>36</v>
      </c>
      <c r="D105" t="s" s="11">
        <v>26</v>
      </c>
      <c r="E105" t="s" s="11">
        <v>37</v>
      </c>
      <c r="F105" t="s" s="11">
        <v>38</v>
      </c>
      <c r="G105" s="12">
        <v>1156</v>
      </c>
      <c r="H105" t="s" s="11">
        <v>29</v>
      </c>
      <c r="I105" t="s" s="11">
        <v>31</v>
      </c>
      <c r="J105" t="s" s="11">
        <v>40</v>
      </c>
      <c r="K105" s="13">
        <v>15</v>
      </c>
      <c r="L105" s="13">
        <v>30</v>
      </c>
      <c r="M105" s="13">
        <v>45</v>
      </c>
      <c r="N105" s="13">
        <v>315</v>
      </c>
      <c r="O105" t="s" s="11">
        <v>321</v>
      </c>
      <c r="P105" t="s" s="11">
        <v>49</v>
      </c>
      <c r="Q105" t="s" s="11">
        <v>322</v>
      </c>
      <c r="R105" t="s" s="11">
        <v>323</v>
      </c>
      <c r="S105" t="s" s="11">
        <v>324</v>
      </c>
      <c r="T105" t="s" s="11">
        <v>113</v>
      </c>
      <c r="U105" s="12">
        <v>0</v>
      </c>
      <c r="V105" t="s" s="11">
        <v>52</v>
      </c>
    </row>
    <row r="106" ht="44.05" customHeight="1">
      <c r="A106" t="s" s="9">
        <v>325</v>
      </c>
      <c r="B106" t="s" s="10">
        <v>24</v>
      </c>
      <c r="C106" t="s" s="11">
        <v>140</v>
      </c>
      <c r="D106" t="s" s="11">
        <v>26</v>
      </c>
      <c r="E106" t="s" s="11">
        <v>173</v>
      </c>
      <c r="F106" t="s" s="11">
        <v>38</v>
      </c>
      <c r="G106" s="12">
        <v>1296</v>
      </c>
      <c r="H106" t="s" s="11">
        <v>29</v>
      </c>
      <c r="I106" t="s" s="11">
        <v>21</v>
      </c>
      <c r="J106" t="s" s="11">
        <v>21</v>
      </c>
      <c r="K106" s="12">
        <v>40</v>
      </c>
      <c r="L106" s="13">
        <v>90</v>
      </c>
      <c r="M106" s="13">
        <v>130</v>
      </c>
      <c r="N106" s="13">
        <v>320</v>
      </c>
      <c r="O106" t="s" s="11">
        <v>326</v>
      </c>
      <c r="P106" t="s" s="11">
        <v>49</v>
      </c>
      <c r="Q106" t="s" s="11">
        <v>52</v>
      </c>
      <c r="R106" t="s" s="11">
        <v>327</v>
      </c>
      <c r="S106" t="s" s="11">
        <v>52</v>
      </c>
      <c r="T106" t="s" s="11">
        <v>137</v>
      </c>
      <c r="U106" s="12">
        <v>0</v>
      </c>
      <c r="V106" t="s" s="11">
        <v>52</v>
      </c>
    </row>
    <row r="107" ht="32.05" customHeight="1">
      <c r="A107" t="s" s="9">
        <v>328</v>
      </c>
      <c r="B107" t="s" s="10">
        <v>24</v>
      </c>
      <c r="C107" t="s" s="11">
        <v>36</v>
      </c>
      <c r="D107" t="s" s="11">
        <v>33</v>
      </c>
      <c r="E107" t="s" s="11">
        <v>37</v>
      </c>
      <c r="F107" t="s" s="11">
        <v>38</v>
      </c>
      <c r="G107" t="s" s="11">
        <v>21</v>
      </c>
      <c r="H107" t="s" s="11">
        <v>21</v>
      </c>
      <c r="I107" t="s" s="11">
        <v>21</v>
      </c>
      <c r="J107" t="s" s="11">
        <v>21</v>
      </c>
      <c r="K107" s="12">
        <v>30</v>
      </c>
      <c r="L107" s="12">
        <v>50</v>
      </c>
      <c r="M107" s="12">
        <v>80</v>
      </c>
      <c r="N107" s="12">
        <v>340</v>
      </c>
      <c r="O107" t="s" s="11">
        <v>329</v>
      </c>
      <c r="P107" t="s" s="11">
        <v>24</v>
      </c>
      <c r="Q107" t="s" s="11">
        <v>330</v>
      </c>
      <c r="R107" t="s" s="11">
        <v>331</v>
      </c>
      <c r="S107" t="s" s="11">
        <v>332</v>
      </c>
      <c r="T107" s="12">
        <v>65</v>
      </c>
      <c r="U107" s="14"/>
      <c r="V107" s="12">
        <v>0</v>
      </c>
    </row>
    <row r="108" ht="44.05" customHeight="1">
      <c r="A108" t="s" s="9">
        <v>333</v>
      </c>
      <c r="B108" t="s" s="10">
        <v>24</v>
      </c>
      <c r="C108" t="s" s="15">
        <v>36</v>
      </c>
      <c r="D108" t="s" s="11">
        <v>26</v>
      </c>
      <c r="E108" t="s" s="11">
        <v>21</v>
      </c>
      <c r="F108" t="s" s="11">
        <v>21</v>
      </c>
      <c r="G108" s="13">
        <v>1190</v>
      </c>
      <c r="H108" t="s" s="11">
        <v>21</v>
      </c>
      <c r="I108" t="s" s="15">
        <v>40</v>
      </c>
      <c r="J108" t="s" s="11">
        <v>40</v>
      </c>
      <c r="K108" s="12">
        <v>10</v>
      </c>
      <c r="L108" s="12">
        <v>20</v>
      </c>
      <c r="M108" s="12">
        <v>30</v>
      </c>
      <c r="N108" s="13">
        <v>343</v>
      </c>
      <c r="O108" t="s" s="15">
        <v>334</v>
      </c>
      <c r="P108" t="s" s="11">
        <v>62</v>
      </c>
      <c r="Q108" s="12">
        <v>0</v>
      </c>
      <c r="R108" t="s" s="11">
        <v>335</v>
      </c>
      <c r="S108" s="12">
        <v>0</v>
      </c>
      <c r="T108" t="s" s="11">
        <v>297</v>
      </c>
      <c r="U108" s="12">
        <v>3</v>
      </c>
      <c r="V108" s="12">
        <v>0</v>
      </c>
    </row>
    <row r="109" ht="32.05" customHeight="1">
      <c r="A109" t="s" s="9">
        <v>336</v>
      </c>
      <c r="B109" t="s" s="10">
        <v>24</v>
      </c>
      <c r="C109" t="s" s="11">
        <v>46</v>
      </c>
      <c r="D109" t="s" s="11">
        <v>33</v>
      </c>
      <c r="E109" t="s" s="11">
        <v>38</v>
      </c>
      <c r="F109" t="s" s="11">
        <v>38</v>
      </c>
      <c r="G109" s="13">
        <v>1080</v>
      </c>
      <c r="H109" t="s" s="11">
        <v>21</v>
      </c>
      <c r="I109" t="s" s="11">
        <v>40</v>
      </c>
      <c r="J109" t="s" s="11">
        <v>31</v>
      </c>
      <c r="K109" s="12">
        <v>10</v>
      </c>
      <c r="L109" s="12">
        <v>15</v>
      </c>
      <c r="M109" s="12">
        <v>25</v>
      </c>
      <c r="N109" s="13">
        <v>350</v>
      </c>
      <c r="O109" t="s" s="11">
        <v>337</v>
      </c>
      <c r="P109" t="s" s="11">
        <v>62</v>
      </c>
      <c r="Q109" s="12">
        <v>270</v>
      </c>
      <c r="R109" t="s" s="11">
        <v>125</v>
      </c>
      <c r="S109" s="12">
        <v>32</v>
      </c>
      <c r="T109" t="s" s="11">
        <v>52</v>
      </c>
      <c r="U109" s="12">
        <v>0</v>
      </c>
      <c r="V109" t="s" s="11">
        <v>52</v>
      </c>
    </row>
    <row r="110" ht="20.05" customHeight="1">
      <c r="A110" t="s" s="9">
        <v>338</v>
      </c>
      <c r="B110" t="s" s="10">
        <v>24</v>
      </c>
      <c r="C110" t="s" s="11">
        <v>21</v>
      </c>
      <c r="D110" t="s" s="11">
        <v>33</v>
      </c>
      <c r="E110" t="s" s="11">
        <v>21</v>
      </c>
      <c r="F110" t="s" s="11">
        <v>21</v>
      </c>
      <c r="G110" t="s" s="11">
        <v>21</v>
      </c>
      <c r="H110" t="s" s="11">
        <v>21</v>
      </c>
      <c r="I110" t="s" s="11">
        <v>21</v>
      </c>
      <c r="J110" t="s" s="11">
        <v>21</v>
      </c>
      <c r="K110" s="12">
        <v>30</v>
      </c>
      <c r="L110" s="12">
        <v>50</v>
      </c>
      <c r="M110" s="12">
        <v>80</v>
      </c>
      <c r="N110" s="21">
        <v>350</v>
      </c>
      <c r="O110" t="s" s="11">
        <v>339</v>
      </c>
      <c r="P110" t="s" s="11">
        <v>62</v>
      </c>
      <c r="Q110" s="12">
        <v>95</v>
      </c>
      <c r="R110" t="s" s="11">
        <v>340</v>
      </c>
      <c r="S110" t="s" s="11">
        <v>341</v>
      </c>
      <c r="T110" t="s" s="11">
        <v>52</v>
      </c>
      <c r="U110" s="12">
        <v>0</v>
      </c>
      <c r="V110" t="s" s="11">
        <v>52</v>
      </c>
    </row>
    <row r="111" ht="32.05" customHeight="1">
      <c r="A111" t="s" s="9">
        <v>342</v>
      </c>
      <c r="B111" t="s" s="10">
        <v>24</v>
      </c>
      <c r="C111" t="s" s="11">
        <v>21</v>
      </c>
      <c r="D111" t="s" s="11">
        <v>33</v>
      </c>
      <c r="E111" t="s" s="11">
        <v>21</v>
      </c>
      <c r="F111" t="s" s="11">
        <v>21</v>
      </c>
      <c r="G111" t="s" s="11">
        <v>21</v>
      </c>
      <c r="H111" t="s" s="11">
        <v>21</v>
      </c>
      <c r="I111" t="s" s="11">
        <v>21</v>
      </c>
      <c r="J111" t="s" s="11">
        <v>21</v>
      </c>
      <c r="K111" s="13">
        <v>50</v>
      </c>
      <c r="L111" s="13">
        <v>100</v>
      </c>
      <c r="M111" s="12">
        <v>150</v>
      </c>
      <c r="N111" s="13">
        <v>370.5</v>
      </c>
      <c r="O111" t="s" s="11">
        <v>343</v>
      </c>
      <c r="P111" t="s" s="11">
        <v>62</v>
      </c>
      <c r="Q111" t="s" s="11">
        <v>344</v>
      </c>
      <c r="R111" t="s" s="11">
        <v>327</v>
      </c>
      <c r="S111" s="12">
        <v>105</v>
      </c>
      <c r="T111" s="12">
        <v>3</v>
      </c>
      <c r="U111" s="12">
        <v>0</v>
      </c>
      <c r="V111" s="12">
        <v>30</v>
      </c>
    </row>
    <row r="112" ht="44.05" customHeight="1">
      <c r="A112" t="s" s="9">
        <v>345</v>
      </c>
      <c r="B112" t="s" s="10">
        <v>24</v>
      </c>
      <c r="C112" t="s" s="11">
        <v>46</v>
      </c>
      <c r="D112" t="s" s="11">
        <v>26</v>
      </c>
      <c r="E112" t="s" s="11">
        <v>21</v>
      </c>
      <c r="F112" t="s" s="11">
        <v>21</v>
      </c>
      <c r="G112" t="s" s="11">
        <v>21</v>
      </c>
      <c r="H112" t="s" s="11">
        <v>29</v>
      </c>
      <c r="I112" t="s" s="11">
        <v>21</v>
      </c>
      <c r="J112" t="s" s="11">
        <v>21</v>
      </c>
      <c r="K112" s="13">
        <v>30</v>
      </c>
      <c r="L112" s="13">
        <v>70</v>
      </c>
      <c r="M112" s="12">
        <v>100</v>
      </c>
      <c r="N112" s="13">
        <v>374</v>
      </c>
      <c r="O112" t="s" s="11">
        <v>346</v>
      </c>
      <c r="P112" t="s" s="11">
        <v>347</v>
      </c>
      <c r="Q112" t="s" s="11">
        <v>348</v>
      </c>
      <c r="R112" t="s" s="11">
        <v>327</v>
      </c>
      <c r="S112" t="s" s="11">
        <v>192</v>
      </c>
      <c r="T112" t="s" s="11">
        <v>349</v>
      </c>
      <c r="U112" s="12">
        <v>0</v>
      </c>
      <c r="V112" t="s" s="11">
        <v>52</v>
      </c>
    </row>
    <row r="113" ht="32.05" customHeight="1">
      <c r="A113" t="s" s="9">
        <v>350</v>
      </c>
      <c r="B113" t="s" s="10">
        <v>24</v>
      </c>
      <c r="C113" t="s" s="11">
        <v>21</v>
      </c>
      <c r="D113" t="s" s="11">
        <v>33</v>
      </c>
      <c r="E113" t="s" s="11">
        <v>21</v>
      </c>
      <c r="F113" t="s" s="11">
        <v>21</v>
      </c>
      <c r="G113" t="s" s="11">
        <v>21</v>
      </c>
      <c r="H113" t="s" s="11">
        <v>21</v>
      </c>
      <c r="I113" t="s" s="11">
        <v>21</v>
      </c>
      <c r="J113" t="s" s="11">
        <v>21</v>
      </c>
      <c r="K113" s="13">
        <v>13.57</v>
      </c>
      <c r="L113" s="12">
        <v>40</v>
      </c>
      <c r="M113" s="13">
        <v>53.57</v>
      </c>
      <c r="N113" s="13">
        <v>384.5</v>
      </c>
      <c r="O113" t="s" s="11">
        <v>351</v>
      </c>
      <c r="P113" t="s" s="11">
        <v>24</v>
      </c>
      <c r="Q113" s="13">
        <v>164.75</v>
      </c>
      <c r="R113" s="13">
        <v>104.5</v>
      </c>
      <c r="S113" s="13">
        <v>22.333</v>
      </c>
      <c r="T113" t="s" s="15">
        <v>352</v>
      </c>
      <c r="U113" s="12">
        <v>0</v>
      </c>
      <c r="V113" s="12">
        <v>0</v>
      </c>
    </row>
    <row r="114" ht="32.05" customHeight="1">
      <c r="A114" t="s" s="9">
        <v>353</v>
      </c>
      <c r="B114" t="s" s="10">
        <v>45</v>
      </c>
      <c r="C114" t="s" s="11">
        <v>25</v>
      </c>
      <c r="D114" t="s" s="11">
        <v>26</v>
      </c>
      <c r="E114" t="s" s="11">
        <v>290</v>
      </c>
      <c r="F114" t="s" s="11">
        <v>57</v>
      </c>
      <c r="G114" s="12">
        <v>956</v>
      </c>
      <c r="H114" t="s" s="11">
        <v>29</v>
      </c>
      <c r="I114" t="s" s="11">
        <v>40</v>
      </c>
      <c r="J114" t="s" s="11">
        <v>31</v>
      </c>
      <c r="K114" s="12">
        <v>25</v>
      </c>
      <c r="L114" s="12">
        <v>200</v>
      </c>
      <c r="M114" s="12">
        <v>225</v>
      </c>
      <c r="N114" s="12">
        <v>395</v>
      </c>
      <c r="O114" s="12">
        <f>Q114+R114+S114+T114</f>
        <v>395</v>
      </c>
      <c r="P114" t="s" s="11">
        <v>24</v>
      </c>
      <c r="Q114" s="12">
        <v>150</v>
      </c>
      <c r="R114" s="12">
        <v>100</v>
      </c>
      <c r="S114" s="12">
        <f>2+3+4+20+10</f>
        <v>39</v>
      </c>
      <c r="T114" s="12">
        <f>30+50+20+6</f>
        <v>106</v>
      </c>
      <c r="U114" s="12">
        <v>0</v>
      </c>
      <c r="V114" s="12">
        <v>0</v>
      </c>
    </row>
    <row r="115" ht="32.05" customHeight="1">
      <c r="A115" t="s" s="9">
        <v>354</v>
      </c>
      <c r="B115" t="s" s="10">
        <v>24</v>
      </c>
      <c r="C115" t="s" s="11">
        <v>184</v>
      </c>
      <c r="D115" t="s" s="11">
        <v>33</v>
      </c>
      <c r="E115" t="s" s="11">
        <v>21</v>
      </c>
      <c r="F115" t="s" s="11">
        <v>21</v>
      </c>
      <c r="G115" t="s" s="11">
        <v>21</v>
      </c>
      <c r="H115" t="s" s="11">
        <v>21</v>
      </c>
      <c r="I115" t="s" s="11">
        <v>21</v>
      </c>
      <c r="J115" t="s" s="11">
        <v>21</v>
      </c>
      <c r="K115" s="12">
        <v>20</v>
      </c>
      <c r="L115" s="12">
        <v>20</v>
      </c>
      <c r="M115" s="12">
        <v>40</v>
      </c>
      <c r="N115" s="12">
        <v>455</v>
      </c>
      <c r="O115" s="14"/>
      <c r="P115" s="14"/>
      <c r="Q115" s="14"/>
      <c r="R115" s="14"/>
      <c r="S115" s="14"/>
      <c r="T115" s="14"/>
      <c r="U115" s="14"/>
      <c r="V115" s="14"/>
    </row>
    <row r="116" ht="32.05" customHeight="1">
      <c r="A116" t="s" s="9">
        <v>355</v>
      </c>
      <c r="B116" t="s" s="10">
        <v>24</v>
      </c>
      <c r="C116" t="s" s="11">
        <v>140</v>
      </c>
      <c r="D116" t="s" s="11">
        <v>26</v>
      </c>
      <c r="E116" t="s" s="11">
        <v>21</v>
      </c>
      <c r="F116" t="s" s="11">
        <v>21</v>
      </c>
      <c r="G116" t="s" s="11">
        <v>21</v>
      </c>
      <c r="H116" t="s" s="11">
        <v>29</v>
      </c>
      <c r="I116" t="s" s="11">
        <v>31</v>
      </c>
      <c r="J116" t="s" s="11">
        <v>31</v>
      </c>
      <c r="K116" s="12">
        <v>30</v>
      </c>
      <c r="L116" s="12">
        <v>70</v>
      </c>
      <c r="M116" s="12">
        <v>100</v>
      </c>
      <c r="N116" s="12">
        <v>460</v>
      </c>
      <c r="O116" t="s" s="11">
        <v>356</v>
      </c>
      <c r="P116" t="s" s="11">
        <v>24</v>
      </c>
      <c r="Q116" t="s" s="11">
        <v>357</v>
      </c>
      <c r="R116" t="s" s="11">
        <v>358</v>
      </c>
      <c r="S116" s="14"/>
      <c r="T116" s="12">
        <v>42</v>
      </c>
      <c r="U116" s="14"/>
      <c r="V116" s="14"/>
    </row>
    <row r="117" ht="44.05" customHeight="1">
      <c r="A117" t="s" s="9">
        <v>359</v>
      </c>
      <c r="B117" t="s" s="10">
        <v>24</v>
      </c>
      <c r="C117" t="s" s="11">
        <v>46</v>
      </c>
      <c r="D117" t="s" s="11">
        <v>26</v>
      </c>
      <c r="E117" t="s" s="11">
        <v>37</v>
      </c>
      <c r="F117" t="s" s="11">
        <v>38</v>
      </c>
      <c r="G117" t="s" s="11">
        <v>21</v>
      </c>
      <c r="H117" t="s" s="11">
        <v>39</v>
      </c>
      <c r="I117" t="s" s="11">
        <v>40</v>
      </c>
      <c r="J117" t="s" s="11">
        <v>40</v>
      </c>
      <c r="K117" s="12">
        <v>80</v>
      </c>
      <c r="L117" s="12">
        <v>120</v>
      </c>
      <c r="M117" s="12">
        <v>200</v>
      </c>
      <c r="N117" s="13">
        <v>463</v>
      </c>
      <c r="O117" t="s" s="11">
        <v>360</v>
      </c>
      <c r="P117" t="s" s="11">
        <v>62</v>
      </c>
      <c r="Q117" t="s" s="11">
        <v>361</v>
      </c>
      <c r="R117" t="s" s="11">
        <v>313</v>
      </c>
      <c r="S117" t="s" s="11">
        <v>327</v>
      </c>
      <c r="T117" t="s" s="11">
        <v>52</v>
      </c>
      <c r="U117" s="12">
        <v>4</v>
      </c>
      <c r="V117" t="s" s="11">
        <v>52</v>
      </c>
    </row>
    <row r="118" ht="32.05" customHeight="1">
      <c r="A118" t="s" s="9">
        <v>362</v>
      </c>
      <c r="B118" t="s" s="10">
        <v>45</v>
      </c>
      <c r="C118" t="s" s="11">
        <v>46</v>
      </c>
      <c r="D118" t="s" s="11">
        <v>26</v>
      </c>
      <c r="E118" t="s" s="11">
        <v>37</v>
      </c>
      <c r="F118" t="s" s="11">
        <v>38</v>
      </c>
      <c r="G118" s="12">
        <v>1059</v>
      </c>
      <c r="H118" t="s" s="11">
        <v>29</v>
      </c>
      <c r="I118" t="s" s="11">
        <v>21</v>
      </c>
      <c r="J118" t="s" s="11">
        <v>21</v>
      </c>
      <c r="K118" s="12">
        <v>15</v>
      </c>
      <c r="L118" s="12">
        <v>50</v>
      </c>
      <c r="M118" s="12">
        <v>65</v>
      </c>
      <c r="N118" s="12">
        <v>470</v>
      </c>
      <c r="O118" t="s" s="11">
        <v>363</v>
      </c>
      <c r="P118" t="s" s="11">
        <v>24</v>
      </c>
      <c r="Q118" s="12">
        <v>40</v>
      </c>
      <c r="R118" t="s" s="11">
        <v>364</v>
      </c>
      <c r="S118" t="s" s="11">
        <v>365</v>
      </c>
      <c r="T118" s="12">
        <v>127</v>
      </c>
      <c r="U118" s="12">
        <v>0</v>
      </c>
      <c r="V118" s="12">
        <v>0</v>
      </c>
    </row>
    <row r="119" ht="32.05" customHeight="1">
      <c r="A119" t="s" s="9">
        <v>366</v>
      </c>
      <c r="B119" t="s" s="10">
        <v>24</v>
      </c>
      <c r="C119" t="s" s="11">
        <v>184</v>
      </c>
      <c r="D119" t="s" s="11">
        <v>33</v>
      </c>
      <c r="E119" t="s" s="11">
        <v>21</v>
      </c>
      <c r="F119" t="s" s="11">
        <v>21</v>
      </c>
      <c r="G119" t="s" s="11">
        <v>21</v>
      </c>
      <c r="H119" t="s" s="11">
        <v>21</v>
      </c>
      <c r="I119" t="s" s="11">
        <v>21</v>
      </c>
      <c r="J119" t="s" s="11">
        <v>21</v>
      </c>
      <c r="K119" s="12">
        <v>20</v>
      </c>
      <c r="L119" s="12">
        <v>30</v>
      </c>
      <c r="M119" s="12">
        <v>50</v>
      </c>
      <c r="N119" s="13">
        <v>488</v>
      </c>
      <c r="O119" t="s" s="11">
        <v>367</v>
      </c>
      <c r="P119" t="s" s="11">
        <v>24</v>
      </c>
      <c r="Q119" s="12">
        <v>125</v>
      </c>
      <c r="R119" s="12">
        <v>51</v>
      </c>
      <c r="S119" s="12">
        <v>179</v>
      </c>
      <c r="T119" t="s" s="11">
        <v>52</v>
      </c>
      <c r="U119" s="12">
        <v>132</v>
      </c>
      <c r="V119" s="12">
        <v>0</v>
      </c>
    </row>
    <row r="120" ht="44.05" customHeight="1">
      <c r="A120" t="s" s="9">
        <v>368</v>
      </c>
      <c r="B120" t="s" s="10">
        <v>24</v>
      </c>
      <c r="C120" t="s" s="11">
        <v>21</v>
      </c>
      <c r="D120" t="s" s="11">
        <v>33</v>
      </c>
      <c r="E120" t="s" s="11">
        <v>219</v>
      </c>
      <c r="F120" t="s" s="11">
        <v>38</v>
      </c>
      <c r="G120" t="s" s="11">
        <v>21</v>
      </c>
      <c r="H120" t="s" s="11">
        <v>21</v>
      </c>
      <c r="I120" t="s" s="11">
        <v>21</v>
      </c>
      <c r="J120" t="s" s="11">
        <v>21</v>
      </c>
      <c r="K120" s="12">
        <v>30</v>
      </c>
      <c r="L120" s="12">
        <v>100</v>
      </c>
      <c r="M120" s="12">
        <v>130</v>
      </c>
      <c r="N120" s="21">
        <v>500</v>
      </c>
      <c r="O120" t="s" s="11">
        <v>369</v>
      </c>
      <c r="P120" t="s" s="11">
        <v>370</v>
      </c>
      <c r="Q120" t="s" s="11">
        <v>371</v>
      </c>
      <c r="R120" t="s" s="11">
        <v>372</v>
      </c>
      <c r="S120" t="s" s="11">
        <v>373</v>
      </c>
      <c r="T120" t="s" s="11">
        <v>52</v>
      </c>
      <c r="U120" s="12">
        <v>0</v>
      </c>
      <c r="V120" t="s" s="11">
        <v>52</v>
      </c>
    </row>
    <row r="121" ht="104.05" customHeight="1">
      <c r="A121" t="s" s="9">
        <v>374</v>
      </c>
      <c r="B121" t="s" s="10">
        <v>45</v>
      </c>
      <c r="C121" t="s" s="11">
        <v>36</v>
      </c>
      <c r="D121" t="s" s="11">
        <v>375</v>
      </c>
      <c r="E121" t="s" s="11">
        <v>37</v>
      </c>
      <c r="F121" t="s" s="11">
        <v>38</v>
      </c>
      <c r="G121" s="12">
        <v>1146</v>
      </c>
      <c r="H121" t="s" s="11">
        <v>29</v>
      </c>
      <c r="I121" t="s" s="11">
        <v>40</v>
      </c>
      <c r="J121" t="s" s="11">
        <v>21</v>
      </c>
      <c r="K121" s="12">
        <v>40</v>
      </c>
      <c r="L121" s="12">
        <v>100</v>
      </c>
      <c r="M121" s="12">
        <v>140</v>
      </c>
      <c r="N121" s="12">
        <v>500</v>
      </c>
      <c r="O121" s="12">
        <v>573</v>
      </c>
      <c r="P121" t="s" s="11">
        <v>376</v>
      </c>
      <c r="Q121" s="12">
        <v>171</v>
      </c>
      <c r="R121" s="12">
        <v>95</v>
      </c>
      <c r="S121" s="12">
        <v>155</v>
      </c>
      <c r="T121" s="12">
        <v>132</v>
      </c>
      <c r="U121" s="12">
        <v>0</v>
      </c>
      <c r="V121" s="12">
        <v>20</v>
      </c>
    </row>
    <row r="122" ht="68.05" customHeight="1">
      <c r="A122" t="s" s="9">
        <v>377</v>
      </c>
      <c r="B122" t="s" s="10">
        <v>45</v>
      </c>
      <c r="C122" t="s" s="11">
        <v>36</v>
      </c>
      <c r="D122" t="s" s="11">
        <v>33</v>
      </c>
      <c r="E122" t="s" s="11">
        <v>219</v>
      </c>
      <c r="F122" t="s" s="11">
        <v>38</v>
      </c>
      <c r="G122" s="12">
        <v>1156</v>
      </c>
      <c r="H122" t="s" s="11">
        <v>29</v>
      </c>
      <c r="I122" t="s" s="11">
        <v>40</v>
      </c>
      <c r="J122" t="s" s="11">
        <v>21</v>
      </c>
      <c r="K122" s="12">
        <v>50</v>
      </c>
      <c r="L122" s="12">
        <v>100</v>
      </c>
      <c r="M122" s="12">
        <v>150</v>
      </c>
      <c r="N122" s="12">
        <v>520</v>
      </c>
      <c r="O122" t="s" s="11">
        <v>378</v>
      </c>
      <c r="P122" t="s" s="11">
        <v>379</v>
      </c>
      <c r="Q122" s="12">
        <v>123</v>
      </c>
      <c r="R122" s="12">
        <v>196</v>
      </c>
      <c r="S122" s="12">
        <v>97</v>
      </c>
      <c r="T122" s="12">
        <v>79</v>
      </c>
      <c r="U122" s="12">
        <v>0</v>
      </c>
      <c r="V122" s="12">
        <v>20</v>
      </c>
    </row>
    <row r="123" ht="32.05" customHeight="1">
      <c r="A123" t="s" s="9">
        <v>380</v>
      </c>
      <c r="B123" t="s" s="10">
        <v>24</v>
      </c>
      <c r="C123" t="s" s="11">
        <v>36</v>
      </c>
      <c r="D123" t="s" s="11">
        <v>26</v>
      </c>
      <c r="E123" t="s" s="11">
        <v>38</v>
      </c>
      <c r="F123" t="s" s="11">
        <v>38</v>
      </c>
      <c r="G123" t="s" s="11">
        <v>21</v>
      </c>
      <c r="H123" t="s" s="11">
        <v>29</v>
      </c>
      <c r="I123" t="s" s="11">
        <v>21</v>
      </c>
      <c r="J123" t="s" s="11">
        <v>21</v>
      </c>
      <c r="K123" s="13">
        <v>23</v>
      </c>
      <c r="L123" s="12">
        <v>50</v>
      </c>
      <c r="M123" s="13">
        <v>73</v>
      </c>
      <c r="N123" s="12">
        <v>530</v>
      </c>
      <c r="O123" s="12">
        <v>141</v>
      </c>
      <c r="P123" t="s" s="11">
        <v>62</v>
      </c>
      <c r="Q123" t="s" s="11">
        <v>344</v>
      </c>
      <c r="R123" t="s" s="11">
        <v>381</v>
      </c>
      <c r="S123" s="12">
        <v>59</v>
      </c>
      <c r="T123" t="s" s="11">
        <v>241</v>
      </c>
      <c r="U123" s="14"/>
      <c r="V123" t="s" s="15">
        <v>382</v>
      </c>
    </row>
    <row r="124" ht="32.05" customHeight="1">
      <c r="A124" t="s" s="9">
        <v>383</v>
      </c>
      <c r="B124" t="s" s="10">
        <v>24</v>
      </c>
      <c r="C124" t="s" s="11">
        <v>36</v>
      </c>
      <c r="D124" t="s" s="11">
        <v>33</v>
      </c>
      <c r="E124" t="s" s="15">
        <v>37</v>
      </c>
      <c r="F124" t="s" s="15">
        <v>38</v>
      </c>
      <c r="G124" t="s" s="11">
        <v>21</v>
      </c>
      <c r="H124" t="s" s="11">
        <v>21</v>
      </c>
      <c r="I124" t="s" s="11">
        <v>21</v>
      </c>
      <c r="J124" t="s" s="11">
        <v>21</v>
      </c>
      <c r="K124" s="13">
        <v>30</v>
      </c>
      <c r="L124" s="12">
        <v>70</v>
      </c>
      <c r="M124" s="13">
        <v>100</v>
      </c>
      <c r="N124" s="13">
        <v>550</v>
      </c>
      <c r="O124" t="s" s="11">
        <v>369</v>
      </c>
      <c r="P124" t="s" s="11">
        <v>24</v>
      </c>
      <c r="Q124" t="s" s="11">
        <v>384</v>
      </c>
      <c r="R124" s="12">
        <v>155</v>
      </c>
      <c r="S124" s="12">
        <v>55</v>
      </c>
      <c r="T124" s="12">
        <v>63</v>
      </c>
      <c r="U124" t="s" s="11">
        <v>385</v>
      </c>
      <c r="V124" t="s" s="11">
        <v>52</v>
      </c>
    </row>
    <row r="125" ht="56.05" customHeight="1">
      <c r="A125" t="s" s="9">
        <v>386</v>
      </c>
      <c r="B125" t="s" s="10">
        <v>24</v>
      </c>
      <c r="C125" t="s" s="11">
        <v>36</v>
      </c>
      <c r="D125" t="s" s="11">
        <v>33</v>
      </c>
      <c r="E125" t="s" s="11">
        <v>219</v>
      </c>
      <c r="F125" t="s" s="11">
        <v>38</v>
      </c>
      <c r="G125" s="12">
        <v>1156</v>
      </c>
      <c r="H125" t="s" s="11">
        <v>29</v>
      </c>
      <c r="I125" t="s" s="11">
        <v>21</v>
      </c>
      <c r="J125" t="s" s="11">
        <v>21</v>
      </c>
      <c r="K125" s="12">
        <v>50</v>
      </c>
      <c r="L125" s="12">
        <v>100</v>
      </c>
      <c r="M125" s="12">
        <v>150</v>
      </c>
      <c r="N125" s="21">
        <v>600</v>
      </c>
      <c r="O125" t="s" s="11">
        <v>387</v>
      </c>
      <c r="P125" t="s" s="11">
        <v>62</v>
      </c>
      <c r="Q125" s="12">
        <v>209</v>
      </c>
      <c r="R125" t="s" s="11">
        <v>388</v>
      </c>
      <c r="S125" s="12">
        <v>234</v>
      </c>
      <c r="T125" t="s" s="11">
        <v>389</v>
      </c>
      <c r="U125" s="12">
        <v>0</v>
      </c>
      <c r="V125" s="12">
        <v>0</v>
      </c>
    </row>
    <row r="126" ht="32.05" customHeight="1">
      <c r="A126" t="s" s="9">
        <v>390</v>
      </c>
      <c r="B126" t="s" s="10">
        <v>24</v>
      </c>
      <c r="C126" t="s" s="11">
        <v>46</v>
      </c>
      <c r="D126" t="s" s="11">
        <v>33</v>
      </c>
      <c r="E126" t="s" s="11">
        <v>21</v>
      </c>
      <c r="F126" t="s" s="11">
        <v>21</v>
      </c>
      <c r="G126" t="s" s="11">
        <v>21</v>
      </c>
      <c r="H126" t="s" s="11">
        <v>21</v>
      </c>
      <c r="I126" t="s" s="11">
        <v>21</v>
      </c>
      <c r="J126" t="s" s="11">
        <v>21</v>
      </c>
      <c r="K126" s="12">
        <v>20</v>
      </c>
      <c r="L126" s="12">
        <v>30</v>
      </c>
      <c r="M126" s="12">
        <v>50</v>
      </c>
      <c r="N126" s="12">
        <v>626</v>
      </c>
      <c r="O126" t="s" s="11">
        <v>391</v>
      </c>
      <c r="P126" t="s" s="11">
        <v>24</v>
      </c>
      <c r="Q126" t="s" s="11">
        <v>392</v>
      </c>
      <c r="R126" t="s" s="11">
        <v>393</v>
      </c>
      <c r="S126" t="s" s="11">
        <v>394</v>
      </c>
      <c r="T126" s="12">
        <f>10+6+20+3+6+15+10+15+5</f>
        <v>90</v>
      </c>
      <c r="U126" s="12">
        <v>0</v>
      </c>
      <c r="V126" s="12">
        <v>0</v>
      </c>
    </row>
    <row r="127" ht="56.05" customHeight="1">
      <c r="A127" t="s" s="9">
        <v>395</v>
      </c>
      <c r="B127" t="s" s="10">
        <v>24</v>
      </c>
      <c r="C127" t="s" s="11">
        <v>46</v>
      </c>
      <c r="D127" t="s" s="11">
        <v>26</v>
      </c>
      <c r="E127" t="s" s="11">
        <v>91</v>
      </c>
      <c r="F127" t="s" s="11">
        <v>57</v>
      </c>
      <c r="G127" s="12">
        <v>1006</v>
      </c>
      <c r="H127" t="s" s="11">
        <v>39</v>
      </c>
      <c r="I127" t="s" s="11">
        <v>40</v>
      </c>
      <c r="J127" t="s" s="11">
        <v>21</v>
      </c>
      <c r="K127" s="12">
        <v>70</v>
      </c>
      <c r="L127" s="12">
        <v>100</v>
      </c>
      <c r="M127" s="12">
        <v>170</v>
      </c>
      <c r="N127" s="13">
        <v>690</v>
      </c>
      <c r="O127" t="s" s="11">
        <v>227</v>
      </c>
      <c r="P127" t="s" s="11">
        <v>396</v>
      </c>
      <c r="Q127" t="s" s="11">
        <v>52</v>
      </c>
      <c r="R127" t="s" s="11">
        <v>177</v>
      </c>
      <c r="S127" t="s" s="11">
        <v>327</v>
      </c>
      <c r="T127" s="12">
        <v>400</v>
      </c>
      <c r="U127" s="12">
        <v>0</v>
      </c>
      <c r="V127" t="s" s="11">
        <v>52</v>
      </c>
    </row>
    <row r="128" ht="32.05" customHeight="1">
      <c r="A128" t="s" s="9">
        <v>397</v>
      </c>
      <c r="B128" t="s" s="10">
        <v>24</v>
      </c>
      <c r="C128" t="s" s="11">
        <v>36</v>
      </c>
      <c r="D128" t="s" s="11">
        <v>26</v>
      </c>
      <c r="E128" t="s" s="11">
        <v>37</v>
      </c>
      <c r="F128" t="s" s="11">
        <v>38</v>
      </c>
      <c r="G128" s="12">
        <v>1117</v>
      </c>
      <c r="H128" t="s" s="11">
        <v>39</v>
      </c>
      <c r="I128" t="s" s="11">
        <v>40</v>
      </c>
      <c r="J128" t="s" s="11">
        <v>31</v>
      </c>
      <c r="K128" s="12">
        <v>20</v>
      </c>
      <c r="L128" s="12">
        <v>50</v>
      </c>
      <c r="M128" s="12">
        <v>70</v>
      </c>
      <c r="N128" s="12">
        <v>719</v>
      </c>
      <c r="O128" t="s" s="11">
        <v>398</v>
      </c>
      <c r="P128" t="s" s="11">
        <v>62</v>
      </c>
      <c r="Q128" t="s" s="11">
        <v>399</v>
      </c>
      <c r="R128" t="s" s="11">
        <v>400</v>
      </c>
      <c r="S128" t="s" s="11">
        <v>401</v>
      </c>
      <c r="T128" t="s" s="11">
        <v>402</v>
      </c>
      <c r="U128" s="12">
        <v>0</v>
      </c>
      <c r="V128" t="s" s="11">
        <v>52</v>
      </c>
    </row>
    <row r="129" ht="68.05" customHeight="1">
      <c r="A129" t="s" s="9">
        <v>403</v>
      </c>
      <c r="B129" t="s" s="10">
        <v>45</v>
      </c>
      <c r="C129" t="s" s="11">
        <v>46</v>
      </c>
      <c r="D129" t="s" s="11">
        <v>26</v>
      </c>
      <c r="E129" t="s" s="11">
        <v>404</v>
      </c>
      <c r="F129" t="s" s="11">
        <v>43</v>
      </c>
      <c r="G129" t="s" s="11">
        <v>21</v>
      </c>
      <c r="H129" t="s" s="11">
        <v>29</v>
      </c>
      <c r="I129" t="s" s="11">
        <v>40</v>
      </c>
      <c r="J129" t="s" s="11">
        <v>31</v>
      </c>
      <c r="K129" s="13">
        <v>5</v>
      </c>
      <c r="L129" s="13">
        <v>15</v>
      </c>
      <c r="M129" s="13">
        <v>20</v>
      </c>
      <c r="N129" s="12">
        <v>774</v>
      </c>
      <c r="O129" s="12">
        <v>773.333</v>
      </c>
      <c r="P129" t="s" s="11">
        <v>24</v>
      </c>
      <c r="Q129" s="12">
        <v>227</v>
      </c>
      <c r="R129" s="12">
        <v>120</v>
      </c>
      <c r="S129" s="12">
        <v>370</v>
      </c>
      <c r="T129" s="12">
        <v>56.333</v>
      </c>
      <c r="U129" s="12">
        <v>0</v>
      </c>
      <c r="V129" s="12">
        <v>0</v>
      </c>
    </row>
    <row r="130" ht="32.05" customHeight="1">
      <c r="A130" t="s" s="9">
        <v>405</v>
      </c>
      <c r="B130" t="s" s="10">
        <v>24</v>
      </c>
      <c r="C130" t="s" s="11">
        <v>406</v>
      </c>
      <c r="D130" t="s" s="11">
        <v>26</v>
      </c>
      <c r="E130" t="s" s="11">
        <v>37</v>
      </c>
      <c r="F130" t="s" s="11">
        <v>38</v>
      </c>
      <c r="G130" t="s" s="11">
        <v>21</v>
      </c>
      <c r="H130" t="s" s="11">
        <v>21</v>
      </c>
      <c r="I130" t="s" s="11">
        <v>21</v>
      </c>
      <c r="J130" t="s" s="11">
        <v>21</v>
      </c>
      <c r="K130" s="12">
        <v>5</v>
      </c>
      <c r="L130" s="12">
        <v>10</v>
      </c>
      <c r="M130" s="12">
        <v>15</v>
      </c>
      <c r="N130" s="12">
        <v>785</v>
      </c>
      <c r="O130" s="14"/>
      <c r="P130" t="s" s="11">
        <v>62</v>
      </c>
      <c r="Q130" s="14"/>
      <c r="R130" s="14"/>
      <c r="S130" s="14"/>
      <c r="T130" s="14"/>
      <c r="U130" s="14"/>
      <c r="V130" s="14"/>
    </row>
    <row r="131" ht="32.05" customHeight="1">
      <c r="A131" t="s" s="26">
        <v>407</v>
      </c>
      <c r="B131" t="s" s="10">
        <v>24</v>
      </c>
      <c r="C131" t="s" s="11">
        <v>46</v>
      </c>
      <c r="D131" t="s" s="11">
        <v>26</v>
      </c>
      <c r="E131" t="s" s="11">
        <v>38</v>
      </c>
      <c r="F131" t="s" s="11">
        <v>38</v>
      </c>
      <c r="G131" s="12">
        <v>1082</v>
      </c>
      <c r="H131" t="s" s="11">
        <v>29</v>
      </c>
      <c r="I131" t="s" s="11">
        <v>21</v>
      </c>
      <c r="J131" t="s" s="11">
        <v>40</v>
      </c>
      <c r="K131" s="12">
        <v>100</v>
      </c>
      <c r="L131" s="12">
        <v>200</v>
      </c>
      <c r="M131" s="12">
        <v>300</v>
      </c>
      <c r="N131" s="13">
        <v>850</v>
      </c>
      <c r="O131" t="s" s="11">
        <v>408</v>
      </c>
      <c r="P131" t="s" s="11">
        <v>49</v>
      </c>
      <c r="Q131" s="12">
        <v>257</v>
      </c>
      <c r="R131" s="12">
        <v>100</v>
      </c>
      <c r="S131" t="s" s="11">
        <v>52</v>
      </c>
      <c r="T131" t="s" s="11">
        <v>409</v>
      </c>
      <c r="U131" s="13">
        <v>133</v>
      </c>
      <c r="V131" t="s" s="11">
        <v>52</v>
      </c>
    </row>
    <row r="132" ht="32.05" customHeight="1">
      <c r="A132" t="s" s="9">
        <v>410</v>
      </c>
      <c r="B132" t="s" s="10">
        <v>24</v>
      </c>
      <c r="C132" t="s" s="11">
        <v>36</v>
      </c>
      <c r="D132" t="s" s="11">
        <v>33</v>
      </c>
      <c r="E132" t="s" s="11">
        <v>38</v>
      </c>
      <c r="F132" t="s" s="11">
        <v>38</v>
      </c>
      <c r="G132" s="13">
        <v>1140</v>
      </c>
      <c r="H132" t="s" s="11">
        <v>21</v>
      </c>
      <c r="I132" t="s" s="11">
        <v>21</v>
      </c>
      <c r="J132" t="s" s="11">
        <v>21</v>
      </c>
      <c r="K132" s="13">
        <v>150</v>
      </c>
      <c r="L132" s="13">
        <v>350</v>
      </c>
      <c r="M132" s="12">
        <v>500</v>
      </c>
      <c r="N132" s="12">
        <v>1600</v>
      </c>
      <c r="O132" s="12">
        <v>1600</v>
      </c>
      <c r="P132" t="s" s="11">
        <v>24</v>
      </c>
      <c r="Q132" s="12">
        <v>471</v>
      </c>
      <c r="R132" s="12">
        <v>373</v>
      </c>
      <c r="S132" s="12">
        <v>198</v>
      </c>
      <c r="T132" s="12">
        <v>458</v>
      </c>
      <c r="U132" s="12">
        <v>0</v>
      </c>
      <c r="V132" s="12">
        <v>100</v>
      </c>
    </row>
    <row r="133" ht="44.05" customHeight="1">
      <c r="A133" t="s" s="9">
        <v>411</v>
      </c>
      <c r="B133" t="s" s="10">
        <v>24</v>
      </c>
      <c r="C133" t="s" s="11">
        <v>184</v>
      </c>
      <c r="D133" t="s" s="11">
        <v>26</v>
      </c>
      <c r="E133" t="s" s="11">
        <v>412</v>
      </c>
      <c r="F133" t="s" s="11">
        <v>21</v>
      </c>
      <c r="G133" t="s" s="11">
        <v>21</v>
      </c>
      <c r="H133" t="s" s="11">
        <v>29</v>
      </c>
      <c r="I133" t="s" s="11">
        <v>21</v>
      </c>
      <c r="J133" t="s" s="11">
        <v>40</v>
      </c>
      <c r="K133" s="12">
        <v>500</v>
      </c>
      <c r="L133" s="13">
        <v>1000</v>
      </c>
      <c r="M133" s="13">
        <v>1500</v>
      </c>
      <c r="N133" s="13">
        <v>3705</v>
      </c>
      <c r="O133" t="s" s="11">
        <v>413</v>
      </c>
      <c r="P133" t="s" s="11">
        <v>62</v>
      </c>
      <c r="Q133" t="s" s="11">
        <v>414</v>
      </c>
      <c r="R133" t="s" s="11">
        <v>415</v>
      </c>
      <c r="S133" t="s" s="11">
        <v>416</v>
      </c>
      <c r="T133" t="s" s="11">
        <v>52</v>
      </c>
      <c r="U133" s="12">
        <v>48</v>
      </c>
      <c r="V133" t="s" s="11">
        <v>52</v>
      </c>
    </row>
    <row r="134" ht="92.05" customHeight="1">
      <c r="A134" t="s" s="9">
        <v>417</v>
      </c>
      <c r="B134" t="s" s="10">
        <v>24</v>
      </c>
      <c r="C134" t="s" s="11">
        <v>46</v>
      </c>
      <c r="D134" t="s" s="11">
        <v>33</v>
      </c>
      <c r="E134" t="s" s="11">
        <v>21</v>
      </c>
      <c r="F134" t="s" s="11">
        <v>21</v>
      </c>
      <c r="G134" s="12">
        <v>1090</v>
      </c>
      <c r="H134" t="s" s="11">
        <v>21</v>
      </c>
      <c r="I134" t="s" s="11">
        <v>31</v>
      </c>
      <c r="J134" t="s" s="11">
        <v>21</v>
      </c>
      <c r="K134" s="12">
        <v>10</v>
      </c>
      <c r="L134" s="12">
        <v>40</v>
      </c>
      <c r="M134" s="12">
        <v>50</v>
      </c>
      <c r="N134" t="s" s="11">
        <v>418</v>
      </c>
      <c r="O134" s="14"/>
      <c r="P134" t="s" s="11">
        <v>419</v>
      </c>
      <c r="Q134" t="s" s="11">
        <v>52</v>
      </c>
      <c r="R134" t="s" s="11">
        <v>52</v>
      </c>
      <c r="S134" t="s" s="11">
        <v>52</v>
      </c>
      <c r="T134" t="s" s="11">
        <v>52</v>
      </c>
      <c r="U134" s="12">
        <v>0</v>
      </c>
      <c r="V134" s="12">
        <v>0</v>
      </c>
    </row>
    <row r="135" ht="32.05" customHeight="1">
      <c r="A135" t="s" s="9">
        <v>420</v>
      </c>
      <c r="B135" t="s" s="10">
        <v>24</v>
      </c>
      <c r="C135" t="s" s="11">
        <v>46</v>
      </c>
      <c r="D135" t="s" s="11">
        <v>26</v>
      </c>
      <c r="E135" t="s" s="11">
        <v>21</v>
      </c>
      <c r="F135" t="s" s="11">
        <v>21</v>
      </c>
      <c r="G135" s="12">
        <v>1013</v>
      </c>
      <c r="H135" t="s" s="11">
        <v>39</v>
      </c>
      <c r="I135" t="s" s="11">
        <v>21</v>
      </c>
      <c r="J135" t="s" s="11">
        <v>21</v>
      </c>
      <c r="K135" s="12">
        <v>10</v>
      </c>
      <c r="L135" s="12">
        <v>25</v>
      </c>
      <c r="M135" s="12">
        <v>35</v>
      </c>
      <c r="N135" t="s" s="11">
        <v>421</v>
      </c>
      <c r="O135" s="14"/>
      <c r="P135" t="s" s="11">
        <v>49</v>
      </c>
      <c r="Q135" s="14"/>
      <c r="R135" s="14"/>
      <c r="S135" s="14"/>
      <c r="T135" s="14"/>
      <c r="U135" s="14"/>
      <c r="V135" s="14"/>
    </row>
    <row r="136" ht="44.05" customHeight="1">
      <c r="A136" t="s" s="9">
        <v>422</v>
      </c>
      <c r="B136" t="s" s="10">
        <v>24</v>
      </c>
      <c r="C136" t="s" s="11">
        <v>46</v>
      </c>
      <c r="D136" t="s" s="11">
        <v>26</v>
      </c>
      <c r="E136" t="s" s="11">
        <v>37</v>
      </c>
      <c r="F136" t="s" s="11">
        <v>38</v>
      </c>
      <c r="G136" s="12">
        <v>1057</v>
      </c>
      <c r="H136" t="s" s="11">
        <v>39</v>
      </c>
      <c r="I136" t="s" s="11">
        <v>21</v>
      </c>
      <c r="J136" t="s" s="11">
        <v>21</v>
      </c>
      <c r="K136" s="12">
        <v>3</v>
      </c>
      <c r="L136" s="12">
        <v>5</v>
      </c>
      <c r="M136" s="27">
        <v>7</v>
      </c>
      <c r="N136" s="14"/>
      <c r="O136" s="14"/>
      <c r="P136" t="s" s="11">
        <v>49</v>
      </c>
      <c r="Q136" s="14"/>
      <c r="R136" t="s" s="11">
        <v>423</v>
      </c>
      <c r="S136" s="14"/>
      <c r="T136" s="14"/>
      <c r="U136" s="14"/>
      <c r="V136" s="14"/>
    </row>
    <row r="137" ht="32.05" customHeight="1">
      <c r="A137" t="s" s="9">
        <v>424</v>
      </c>
      <c r="B137" t="s" s="10">
        <v>24</v>
      </c>
      <c r="C137" t="s" s="11">
        <v>46</v>
      </c>
      <c r="D137" t="s" s="11">
        <v>26</v>
      </c>
      <c r="E137" t="s" s="11">
        <v>37</v>
      </c>
      <c r="F137" t="s" s="11">
        <v>38</v>
      </c>
      <c r="G137" s="12">
        <v>1063</v>
      </c>
      <c r="H137" t="s" s="11">
        <v>39</v>
      </c>
      <c r="I137" t="s" s="11">
        <v>21</v>
      </c>
      <c r="J137" t="s" s="11">
        <v>21</v>
      </c>
      <c r="K137" s="13">
        <v>5</v>
      </c>
      <c r="L137" s="13">
        <v>10</v>
      </c>
      <c r="M137" s="12">
        <v>15</v>
      </c>
      <c r="N137" s="14"/>
      <c r="O137" t="s" s="11">
        <v>425</v>
      </c>
      <c r="P137" t="s" s="11">
        <v>49</v>
      </c>
      <c r="Q137" t="s" s="11">
        <v>52</v>
      </c>
      <c r="R137" t="s" s="11">
        <v>426</v>
      </c>
      <c r="S137" t="s" s="11">
        <v>182</v>
      </c>
      <c r="T137" t="s" s="11">
        <v>113</v>
      </c>
      <c r="U137" s="12">
        <v>20</v>
      </c>
      <c r="V137" t="s" s="11">
        <v>52</v>
      </c>
    </row>
    <row r="138" ht="32.05" customHeight="1">
      <c r="A138" t="s" s="9">
        <v>427</v>
      </c>
      <c r="B138" t="s" s="10">
        <v>24</v>
      </c>
      <c r="C138" t="s" s="11">
        <v>36</v>
      </c>
      <c r="D138" t="s" s="11">
        <v>26</v>
      </c>
      <c r="E138" t="s" s="11">
        <v>37</v>
      </c>
      <c r="F138" t="s" s="11">
        <v>38</v>
      </c>
      <c r="G138" s="12">
        <v>1111</v>
      </c>
      <c r="H138" t="s" s="11">
        <v>29</v>
      </c>
      <c r="I138" t="s" s="11">
        <v>40</v>
      </c>
      <c r="J138" t="s" s="11">
        <v>61</v>
      </c>
      <c r="K138" s="12">
        <v>3</v>
      </c>
      <c r="L138" s="12">
        <v>10</v>
      </c>
      <c r="M138" s="12">
        <v>13</v>
      </c>
      <c r="N138" s="14"/>
      <c r="O138" t="s" s="11">
        <v>428</v>
      </c>
      <c r="P138" t="s" s="11">
        <v>429</v>
      </c>
      <c r="Q138" t="s" s="11">
        <v>52</v>
      </c>
      <c r="R138" t="s" s="11">
        <v>106</v>
      </c>
      <c r="S138" t="s" s="11">
        <v>224</v>
      </c>
      <c r="T138" t="s" s="11">
        <v>107</v>
      </c>
      <c r="U138" s="12">
        <v>0</v>
      </c>
      <c r="V138" t="s" s="11">
        <v>52</v>
      </c>
    </row>
    <row r="139" ht="32.05" customHeight="1">
      <c r="A139" t="s" s="9">
        <v>430</v>
      </c>
      <c r="B139" t="s" s="10">
        <v>24</v>
      </c>
      <c r="C139" t="s" s="11">
        <v>36</v>
      </c>
      <c r="D139" t="s" s="11">
        <v>26</v>
      </c>
      <c r="E139" t="s" s="11">
        <v>37</v>
      </c>
      <c r="F139" t="s" s="11">
        <v>38</v>
      </c>
      <c r="G139" s="12">
        <v>1120</v>
      </c>
      <c r="H139" t="s" s="11">
        <v>21</v>
      </c>
      <c r="I139" t="s" s="11">
        <v>40</v>
      </c>
      <c r="J139" t="s" s="11">
        <v>40</v>
      </c>
      <c r="K139" s="13">
        <v>8</v>
      </c>
      <c r="L139" s="13">
        <v>27</v>
      </c>
      <c r="M139" s="12">
        <v>35</v>
      </c>
      <c r="N139" s="14"/>
      <c r="O139" t="s" s="11">
        <v>245</v>
      </c>
      <c r="P139" t="s" s="11">
        <v>62</v>
      </c>
      <c r="Q139" s="14"/>
      <c r="R139" s="14"/>
      <c r="S139" s="14"/>
      <c r="T139" s="14"/>
      <c r="U139" s="14"/>
      <c r="V139" s="14"/>
    </row>
    <row r="140" ht="32.05" customHeight="1">
      <c r="A140" t="s" s="9">
        <v>431</v>
      </c>
      <c r="B140" t="s" s="10">
        <v>24</v>
      </c>
      <c r="C140" t="s" s="11">
        <v>36</v>
      </c>
      <c r="D140" t="s" s="11">
        <v>26</v>
      </c>
      <c r="E140" t="s" s="11">
        <v>37</v>
      </c>
      <c r="F140" t="s" s="11">
        <v>38</v>
      </c>
      <c r="G140" s="12">
        <v>1157</v>
      </c>
      <c r="H140" t="s" s="11">
        <v>29</v>
      </c>
      <c r="I140" t="s" s="11">
        <v>40</v>
      </c>
      <c r="J140" t="s" s="11">
        <v>40</v>
      </c>
      <c r="K140" s="12">
        <v>10</v>
      </c>
      <c r="L140" s="12">
        <v>40</v>
      </c>
      <c r="M140" s="12">
        <v>50</v>
      </c>
      <c r="N140" s="14"/>
      <c r="O140" t="s" s="11">
        <v>432</v>
      </c>
      <c r="P140" t="s" s="11">
        <v>62</v>
      </c>
      <c r="Q140" t="s" s="11">
        <v>433</v>
      </c>
      <c r="R140" t="s" s="11">
        <v>52</v>
      </c>
      <c r="S140" t="s" s="11">
        <v>52</v>
      </c>
      <c r="T140" t="s" s="11">
        <v>52</v>
      </c>
      <c r="U140" s="12">
        <v>0</v>
      </c>
      <c r="V140" t="s" s="11">
        <v>52</v>
      </c>
    </row>
    <row r="141" ht="32.05" customHeight="1">
      <c r="A141" t="s" s="9">
        <v>434</v>
      </c>
      <c r="B141" t="s" s="10">
        <v>24</v>
      </c>
      <c r="C141" t="s" s="11">
        <v>36</v>
      </c>
      <c r="D141" t="s" s="11">
        <v>26</v>
      </c>
      <c r="E141" t="s" s="11">
        <v>37</v>
      </c>
      <c r="F141" t="s" s="11">
        <v>38</v>
      </c>
      <c r="G141" s="13">
        <v>1160</v>
      </c>
      <c r="H141" t="s" s="11">
        <v>21</v>
      </c>
      <c r="I141" t="s" s="11">
        <v>21</v>
      </c>
      <c r="J141" t="s" s="11">
        <v>21</v>
      </c>
      <c r="K141" s="12">
        <v>10</v>
      </c>
      <c r="L141" s="12">
        <v>20</v>
      </c>
      <c r="M141" s="12">
        <v>30</v>
      </c>
      <c r="N141" s="14"/>
      <c r="O141" t="s" s="11">
        <v>435</v>
      </c>
      <c r="P141" t="s" s="11">
        <v>62</v>
      </c>
      <c r="Q141" t="s" s="11">
        <v>436</v>
      </c>
      <c r="R141" t="s" s="11">
        <v>437</v>
      </c>
      <c r="S141" t="s" s="11">
        <v>52</v>
      </c>
      <c r="T141" t="s" s="11">
        <v>52</v>
      </c>
      <c r="U141" s="12">
        <v>0</v>
      </c>
      <c r="V141" t="s" s="11">
        <v>52</v>
      </c>
    </row>
    <row r="142" ht="32.05" customHeight="1">
      <c r="A142" t="s" s="9">
        <v>438</v>
      </c>
      <c r="B142" t="s" s="10">
        <v>24</v>
      </c>
      <c r="C142" t="s" s="11">
        <v>36</v>
      </c>
      <c r="D142" t="s" s="11">
        <v>26</v>
      </c>
      <c r="E142" t="s" s="11">
        <v>37</v>
      </c>
      <c r="F142" t="s" s="11">
        <v>38</v>
      </c>
      <c r="G142" s="13">
        <v>1160</v>
      </c>
      <c r="H142" t="s" s="11">
        <v>29</v>
      </c>
      <c r="I142" t="s" s="11">
        <v>21</v>
      </c>
      <c r="J142" t="s" s="11">
        <v>21</v>
      </c>
      <c r="K142" s="12">
        <v>10</v>
      </c>
      <c r="L142" s="12">
        <v>20</v>
      </c>
      <c r="M142" s="12">
        <v>30</v>
      </c>
      <c r="N142" s="14"/>
      <c r="O142" t="s" s="11">
        <v>439</v>
      </c>
      <c r="P142" t="s" s="11">
        <v>62</v>
      </c>
      <c r="Q142" s="14"/>
      <c r="R142" t="s" s="11">
        <v>440</v>
      </c>
      <c r="S142" s="14"/>
      <c r="T142" t="s" s="11">
        <v>102</v>
      </c>
      <c r="U142" s="14"/>
      <c r="V142" s="14"/>
    </row>
    <row r="143" ht="32.05" customHeight="1">
      <c r="A143" t="s" s="9">
        <v>441</v>
      </c>
      <c r="B143" t="s" s="10">
        <v>24</v>
      </c>
      <c r="C143" t="s" s="11">
        <v>142</v>
      </c>
      <c r="D143" t="s" s="11">
        <v>26</v>
      </c>
      <c r="E143" t="s" s="11">
        <v>37</v>
      </c>
      <c r="F143" t="s" s="11">
        <v>38</v>
      </c>
      <c r="G143" s="12">
        <v>1310</v>
      </c>
      <c r="H143" t="s" s="11">
        <v>39</v>
      </c>
      <c r="I143" t="s" s="11">
        <v>31</v>
      </c>
      <c r="J143" t="s" s="11">
        <v>31</v>
      </c>
      <c r="K143" s="12">
        <v>5</v>
      </c>
      <c r="L143" s="12">
        <v>40</v>
      </c>
      <c r="M143" s="12">
        <v>45</v>
      </c>
      <c r="N143" s="14"/>
      <c r="O143" t="s" s="11">
        <v>442</v>
      </c>
      <c r="P143" t="s" s="11">
        <v>49</v>
      </c>
      <c r="Q143" t="s" s="11">
        <v>443</v>
      </c>
      <c r="R143" t="s" s="11">
        <v>444</v>
      </c>
      <c r="S143" t="s" s="11">
        <v>445</v>
      </c>
      <c r="T143" t="s" s="11">
        <v>446</v>
      </c>
      <c r="U143" s="14"/>
      <c r="V143" s="14"/>
    </row>
    <row r="144" ht="32.05" customHeight="1">
      <c r="A144" t="s" s="9">
        <v>447</v>
      </c>
      <c r="B144" t="s" s="10">
        <v>24</v>
      </c>
      <c r="C144" t="s" s="11">
        <v>46</v>
      </c>
      <c r="D144" t="s" s="11">
        <v>26</v>
      </c>
      <c r="E144" t="s" s="11">
        <v>21</v>
      </c>
      <c r="F144" t="s" s="11">
        <v>21</v>
      </c>
      <c r="G144" s="12">
        <v>1083</v>
      </c>
      <c r="H144" t="s" s="11">
        <v>29</v>
      </c>
      <c r="I144" t="s" s="11">
        <v>31</v>
      </c>
      <c r="J144" t="s" s="11">
        <v>21</v>
      </c>
      <c r="K144" s="12">
        <v>5</v>
      </c>
      <c r="L144" s="12">
        <v>12</v>
      </c>
      <c r="M144" s="12">
        <v>17</v>
      </c>
      <c r="N144" s="14"/>
      <c r="O144" t="s" s="11">
        <v>435</v>
      </c>
      <c r="P144" t="s" s="11">
        <v>49</v>
      </c>
      <c r="Q144" t="s" s="11">
        <v>52</v>
      </c>
      <c r="R144" t="s" s="11">
        <v>107</v>
      </c>
      <c r="S144" t="s" s="11">
        <v>52</v>
      </c>
      <c r="T144" s="12">
        <v>2</v>
      </c>
      <c r="U144" s="12">
        <v>5</v>
      </c>
      <c r="V144" s="14"/>
    </row>
    <row r="145" ht="32.05" customHeight="1">
      <c r="A145" t="s" s="9">
        <v>448</v>
      </c>
      <c r="B145" t="s" s="10">
        <v>45</v>
      </c>
      <c r="C145" t="s" s="11">
        <v>184</v>
      </c>
      <c r="D145" t="s" s="11">
        <v>33</v>
      </c>
      <c r="E145" t="s" s="11">
        <v>21</v>
      </c>
      <c r="F145" t="s" s="11">
        <v>21</v>
      </c>
      <c r="G145" t="s" s="11">
        <v>21</v>
      </c>
      <c r="H145" t="s" s="11">
        <v>39</v>
      </c>
      <c r="I145" t="s" s="11">
        <v>40</v>
      </c>
      <c r="J145" t="s" s="11">
        <v>31</v>
      </c>
      <c r="K145" s="13">
        <v>5</v>
      </c>
      <c r="L145" s="12">
        <v>20</v>
      </c>
      <c r="M145" s="12">
        <v>25</v>
      </c>
      <c r="N145" s="14"/>
      <c r="O145" s="12">
        <v>71.5</v>
      </c>
      <c r="P145" t="s" s="11">
        <v>24</v>
      </c>
      <c r="Q145" s="12">
        <v>8</v>
      </c>
      <c r="R145" s="12">
        <v>33</v>
      </c>
      <c r="S145" s="12">
        <v>17</v>
      </c>
      <c r="T145" s="12">
        <v>13.5</v>
      </c>
      <c r="U145" s="12">
        <v>0</v>
      </c>
      <c r="V145" s="12">
        <v>0</v>
      </c>
    </row>
  </sheetData>
  <mergeCells count="1">
    <mergeCell ref="A1:V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